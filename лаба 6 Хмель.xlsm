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C:\Users\Никита.FLIPMIXPLAY\Downloads\"/>
    </mc:Choice>
  </mc:AlternateContent>
  <xr:revisionPtr revIDLastSave="0" documentId="8_{D68458D9-28AE-43F3-850A-2C17F37C58E0}" xr6:coauthVersionLast="47" xr6:coauthVersionMax="47" xr10:uidLastSave="{00000000-0000-0000-0000-000000000000}"/>
  <bookViews>
    <workbookView xWindow="-108" yWindow="-108" windowWidth="23256" windowHeight="12456" activeTab="1" xr2:uid="{B499130B-9EDF-4FB4-A1BD-B72DD27E21A4}"/>
  </bookViews>
  <sheets>
    <sheet name="Решение типового задания" sheetId="3" r:id="rId1"/>
    <sheet name="Задания для самостоятельного ре" sheetId="1" r:id="rId2"/>
    <sheet name="Лист4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/>
  <c r="F16" i="1"/>
  <c r="D16" i="1"/>
  <c r="D15" i="1"/>
  <c r="F17" i="1"/>
  <c r="F15" i="1"/>
  <c r="F9" i="1"/>
  <c r="E2" i="1"/>
  <c r="D2" i="1"/>
  <c r="G13" i="1"/>
  <c r="G9" i="1"/>
  <c r="E10" i="1"/>
  <c r="D11" i="1"/>
  <c r="B13" i="1"/>
  <c r="B12" i="3"/>
  <c r="D14" i="3" s="1"/>
  <c r="D10" i="3"/>
  <c r="E9" i="3"/>
  <c r="D9" i="3"/>
  <c r="D8" i="3"/>
  <c r="E7" i="3" s="1"/>
  <c r="D7" i="3"/>
  <c r="E6" i="3" s="1"/>
  <c r="D6" i="3"/>
  <c r="D5" i="3"/>
  <c r="E4" i="3" s="1"/>
  <c r="D4" i="3"/>
  <c r="E3" i="3" s="1"/>
  <c r="D3" i="3"/>
  <c r="D2" i="3"/>
  <c r="E2" i="3" s="1"/>
  <c r="D3" i="1"/>
  <c r="D4" i="1"/>
  <c r="D5" i="1"/>
  <c r="D6" i="1"/>
  <c r="D7" i="1"/>
  <c r="D8" i="1"/>
  <c r="D9" i="1"/>
  <c r="D10" i="1"/>
  <c r="E9" i="1" l="1"/>
  <c r="E3" i="1"/>
  <c r="E4" i="1"/>
  <c r="D15" i="3"/>
  <c r="F2" i="3"/>
  <c r="G2" i="3" s="1"/>
  <c r="F3" i="3"/>
  <c r="G3" i="3" s="1"/>
  <c r="F6" i="3"/>
  <c r="G6" i="3" s="1"/>
  <c r="F14" i="3"/>
  <c r="E5" i="3"/>
  <c r="F4" i="3" s="1"/>
  <c r="G4" i="3" s="1"/>
  <c r="E8" i="3"/>
  <c r="E6" i="1"/>
  <c r="E5" i="1"/>
  <c r="E8" i="1"/>
  <c r="F8" i="1" s="1"/>
  <c r="G8" i="1" s="1"/>
  <c r="E7" i="1"/>
  <c r="F4" i="1" l="1"/>
  <c r="G4" i="1" s="1"/>
  <c r="F7" i="1"/>
  <c r="G7" i="1" s="1"/>
  <c r="F3" i="1"/>
  <c r="G3" i="1" s="1"/>
  <c r="F2" i="1"/>
  <c r="G2" i="1" s="1"/>
  <c r="F5" i="1"/>
  <c r="G5" i="1" s="1"/>
  <c r="F8" i="3"/>
  <c r="G8" i="3" s="1"/>
  <c r="F7" i="3"/>
  <c r="G7" i="3" s="1"/>
  <c r="F15" i="3"/>
  <c r="F5" i="3"/>
  <c r="G5" i="3" s="1"/>
  <c r="G12" i="3" s="1"/>
  <c r="F6" i="1"/>
  <c r="G6" i="1" s="1"/>
  <c r="D16" i="3" l="1"/>
  <c r="F16" i="3"/>
</calcChain>
</file>

<file path=xl/sharedStrings.xml><?xml version="1.0" encoding="utf-8"?>
<sst xmlns="http://schemas.openxmlformats.org/spreadsheetml/2006/main" count="38" uniqueCount="19">
  <si>
    <t>k</t>
  </si>
  <si>
    <t>h =</t>
  </si>
  <si>
    <t>значение</t>
  </si>
  <si>
    <t>погрешность</t>
  </si>
  <si>
    <r>
      <t>x</t>
    </r>
    <r>
      <rPr>
        <vertAlign val="subscript"/>
        <sz val="11"/>
        <color theme="1"/>
        <rFont val="Aptos Narrow"/>
        <family val="2"/>
        <scheme val="minor"/>
      </rPr>
      <t>k</t>
    </r>
  </si>
  <si>
    <r>
      <t>y</t>
    </r>
    <r>
      <rPr>
        <vertAlign val="subscript"/>
        <sz val="11"/>
        <color theme="1"/>
        <rFont val="Aptos Narrow"/>
        <family val="2"/>
        <scheme val="minor"/>
      </rPr>
      <t>k</t>
    </r>
  </si>
  <si>
    <r>
      <t>Δy</t>
    </r>
    <r>
      <rPr>
        <vertAlign val="subscript"/>
        <sz val="11"/>
        <color theme="1"/>
        <rFont val="Aptos Narrow"/>
        <family val="2"/>
        <scheme val="minor"/>
      </rPr>
      <t>k</t>
    </r>
  </si>
  <si>
    <r>
      <t>Δ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y</t>
    </r>
    <r>
      <rPr>
        <vertAlign val="subscript"/>
        <sz val="11"/>
        <color theme="1"/>
        <rFont val="Aptos Narrow"/>
        <family val="2"/>
        <scheme val="minor"/>
      </rPr>
      <t>k</t>
    </r>
  </si>
  <si>
    <r>
      <t>Δ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charset val="204"/>
        <scheme val="minor"/>
      </rPr>
      <t>y</t>
    </r>
    <r>
      <rPr>
        <vertAlign val="subscript"/>
        <sz val="11"/>
        <color theme="1"/>
        <rFont val="Aptos Narrow"/>
        <family val="2"/>
        <scheme val="minor"/>
      </rPr>
      <t>k</t>
    </r>
  </si>
  <si>
    <r>
      <t>|Δ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charset val="204"/>
        <scheme val="minor"/>
      </rPr>
      <t>y</t>
    </r>
    <r>
      <rPr>
        <vertAlign val="subscript"/>
        <sz val="11"/>
        <color theme="1"/>
        <rFont val="Aptos Narrow"/>
        <family val="2"/>
        <scheme val="minor"/>
      </rPr>
      <t>k</t>
    </r>
    <r>
      <rPr>
        <sz val="11"/>
        <color theme="1"/>
        <rFont val="Aptos Narrow"/>
        <family val="2"/>
        <charset val="204"/>
        <scheme val="minor"/>
      </rPr>
      <t>|</t>
    </r>
  </si>
  <si>
    <r>
      <t>max|Δ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charset val="204"/>
        <scheme val="minor"/>
      </rPr>
      <t>y</t>
    </r>
    <r>
      <rPr>
        <vertAlign val="subscript"/>
        <sz val="11"/>
        <color theme="1"/>
        <rFont val="Aptos Narrow"/>
        <family val="2"/>
        <scheme val="minor"/>
      </rPr>
      <t>k</t>
    </r>
    <r>
      <rPr>
        <sz val="11"/>
        <color theme="1"/>
        <rFont val="Aptos Narrow"/>
        <family val="2"/>
        <charset val="204"/>
        <scheme val="minor"/>
      </rPr>
      <t>| =</t>
    </r>
  </si>
  <si>
    <r>
      <t>x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charset val="204"/>
        <scheme val="minor"/>
      </rPr>
      <t xml:space="preserve"> =</t>
    </r>
  </si>
  <si>
    <r>
      <t>x</t>
    </r>
    <r>
      <rPr>
        <vertAlign val="sub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charset val="204"/>
        <scheme val="minor"/>
      </rPr>
      <t xml:space="preserve"> =</t>
    </r>
  </si>
  <si>
    <r>
      <t>q</t>
    </r>
    <r>
      <rPr>
        <vertAlign val="subscript"/>
        <sz val="11"/>
        <color theme="1"/>
        <rFont val="Aptos Narrow"/>
        <family val="2"/>
        <scheme val="minor"/>
      </rPr>
      <t>1</t>
    </r>
  </si>
  <si>
    <r>
      <t>q</t>
    </r>
    <r>
      <rPr>
        <vertAlign val="subscript"/>
        <sz val="11"/>
        <color theme="1"/>
        <rFont val="Aptos Narrow"/>
        <family val="2"/>
        <scheme val="minor"/>
      </rPr>
      <t>2</t>
    </r>
  </si>
  <si>
    <t>R"</t>
  </si>
  <si>
    <t>R'</t>
  </si>
  <si>
    <r>
      <t>P'(x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charset val="204"/>
        <scheme val="minor"/>
      </rPr>
      <t>)</t>
    </r>
  </si>
  <si>
    <r>
      <t>P"(x</t>
    </r>
    <r>
      <rPr>
        <vertAlign val="sub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charset val="204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</si>
</sst>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00"/>
    <numFmt numFmtId="166" formatCode="0.000"/>
    <numFmt numFmtId="167" formatCode="0.0000"/>
  </numFmts>
  <fonts count="4" x14ac:knownFonts="1">
    <font>
      <sz val="11"/>
      <color theme="1"/>
      <name val="Aptos Narrow"/>
      <family val="2"/>
      <charset val="204"/>
      <scheme val="minor"/>
    </font>
    <font>
      <vertAlign val="subscript"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6AC68-984C-4EB5-9E0C-0F7536255921}">
  <sheetPr codeName="Лист2"/>
  <dimension ref="A1:G16"/>
  <sheetViews>
    <sheetView workbookViewId="0">
      <selection activeCell="G14" sqref="G14"/>
    </sheetView>
  </sheetViews>
  <sheetFormatPr defaultRowHeight="14.4" x14ac:dyDescent="0.3"/>
  <cols>
    <col min="1" max="1" width="3.33203125" bestFit="1" customWidth="1"/>
    <col min="2" max="2" width="8.5546875" bestFit="1" customWidth="1"/>
    <col min="3" max="3" width="11.88671875" bestFit="1" customWidth="1"/>
    <col min="4" max="4" width="9.5546875" bestFit="1" customWidth="1"/>
    <col min="5" max="5" width="11.6640625" customWidth="1"/>
    <col min="6" max="6" width="11.6640625" bestFit="1" customWidth="1"/>
    <col min="7" max="7" width="13.6640625" customWidth="1"/>
  </cols>
  <sheetData>
    <row r="1" spans="1:7" ht="16.8" x14ac:dyDescent="0.35">
      <c r="A1" s="6" t="s">
        <v>0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</row>
    <row r="2" spans="1:7" x14ac:dyDescent="0.3">
      <c r="A2" s="6">
        <v>0</v>
      </c>
      <c r="B2" s="7">
        <v>1.2150000000000001</v>
      </c>
      <c r="C2" s="7">
        <v>0.106044</v>
      </c>
      <c r="D2" s="8">
        <f>C3-C2</f>
        <v>4.4700000000000295E-4</v>
      </c>
      <c r="E2" s="8">
        <f>D3-D2</f>
        <v>-3.0000000000030003E-6</v>
      </c>
      <c r="F2" s="8">
        <f>E3-E2</f>
        <v>1.0000000000010001E-6</v>
      </c>
      <c r="G2" s="8">
        <f>ABS(F2)</f>
        <v>1.0000000000010001E-6</v>
      </c>
    </row>
    <row r="3" spans="1:7" x14ac:dyDescent="0.3">
      <c r="A3" s="6">
        <v>1</v>
      </c>
      <c r="B3" s="7">
        <v>1.22</v>
      </c>
      <c r="C3" s="7">
        <v>0.106491</v>
      </c>
      <c r="D3" s="8">
        <f t="shared" ref="D3:F10" si="0">C4-C3</f>
        <v>4.4399999999999995E-4</v>
      </c>
      <c r="E3" s="8">
        <f>D4-D3</f>
        <v>-2.0000000000020002E-6</v>
      </c>
      <c r="F3" s="8">
        <f t="shared" si="0"/>
        <v>1.0000000000010001E-6</v>
      </c>
      <c r="G3" s="8">
        <f t="shared" ref="G3:G8" si="1">ABS(F3)</f>
        <v>1.0000000000010001E-6</v>
      </c>
    </row>
    <row r="4" spans="1:7" x14ac:dyDescent="0.3">
      <c r="A4" s="6">
        <v>2</v>
      </c>
      <c r="B4" s="7">
        <v>1.2250000000000001</v>
      </c>
      <c r="C4" s="7">
        <v>0.106935</v>
      </c>
      <c r="D4" s="8">
        <f t="shared" si="0"/>
        <v>4.4199999999999795E-4</v>
      </c>
      <c r="E4" s="8">
        <f>D5-D4</f>
        <v>-1.0000000000010001E-6</v>
      </c>
      <c r="F4" s="8">
        <f t="shared" si="0"/>
        <v>-9.999999999871223E-7</v>
      </c>
      <c r="G4" s="8">
        <f t="shared" si="1"/>
        <v>9.999999999871223E-7</v>
      </c>
    </row>
    <row r="5" spans="1:7" x14ac:dyDescent="0.3">
      <c r="A5" s="6">
        <v>3</v>
      </c>
      <c r="B5" s="7">
        <v>1.23</v>
      </c>
      <c r="C5" s="7">
        <v>0.107377</v>
      </c>
      <c r="D5" s="8">
        <f t="shared" si="0"/>
        <v>4.4099999999999695E-4</v>
      </c>
      <c r="E5" s="8">
        <f t="shared" si="0"/>
        <v>-1.9999999999881224E-6</v>
      </c>
      <c r="F5" s="8">
        <f t="shared" si="0"/>
        <v>1.9999999999742446E-6</v>
      </c>
      <c r="G5" s="8">
        <f t="shared" si="1"/>
        <v>1.9999999999742446E-6</v>
      </c>
    </row>
    <row r="6" spans="1:7" x14ac:dyDescent="0.3">
      <c r="A6" s="6">
        <v>4</v>
      </c>
      <c r="B6" s="7">
        <v>1.2350000000000001</v>
      </c>
      <c r="C6" s="7">
        <v>0.107818</v>
      </c>
      <c r="D6" s="8">
        <f t="shared" si="0"/>
        <v>4.3900000000000883E-4</v>
      </c>
      <c r="E6" s="8">
        <f>D7-D6</f>
        <v>-1.3877787807814457E-17</v>
      </c>
      <c r="F6" s="8">
        <f t="shared" si="0"/>
        <v>-9.999999999871223E-7</v>
      </c>
      <c r="G6" s="8">
        <f t="shared" si="1"/>
        <v>9.999999999871223E-7</v>
      </c>
    </row>
    <row r="7" spans="1:7" x14ac:dyDescent="0.3">
      <c r="A7" s="6">
        <v>5</v>
      </c>
      <c r="B7" s="7">
        <v>1.24</v>
      </c>
      <c r="C7" s="7">
        <v>0.10825700000000001</v>
      </c>
      <c r="D7" s="8">
        <f t="shared" si="0"/>
        <v>4.3899999999999495E-4</v>
      </c>
      <c r="E7" s="8">
        <f>D8-D7</f>
        <v>-1.0000000000010001E-6</v>
      </c>
      <c r="F7" s="8">
        <f t="shared" si="0"/>
        <v>1.3877787807814457E-17</v>
      </c>
      <c r="G7" s="8">
        <f t="shared" si="1"/>
        <v>1.3877787807814457E-17</v>
      </c>
    </row>
    <row r="8" spans="1:7" x14ac:dyDescent="0.3">
      <c r="A8" s="6">
        <v>6</v>
      </c>
      <c r="B8" s="7">
        <v>1.2450000000000001</v>
      </c>
      <c r="C8" s="7">
        <v>0.108696</v>
      </c>
      <c r="D8" s="8">
        <f t="shared" si="0"/>
        <v>4.3799999999999395E-4</v>
      </c>
      <c r="E8" s="8">
        <f t="shared" si="0"/>
        <v>-9.999999999871223E-7</v>
      </c>
      <c r="F8" s="8">
        <f t="shared" si="0"/>
        <v>9.9999999997324451E-7</v>
      </c>
      <c r="G8" s="8">
        <f t="shared" si="1"/>
        <v>9.9999999997324451E-7</v>
      </c>
    </row>
    <row r="9" spans="1:7" x14ac:dyDescent="0.3">
      <c r="A9" s="6">
        <v>7</v>
      </c>
      <c r="B9" s="7">
        <v>1.25</v>
      </c>
      <c r="C9" s="7">
        <v>0.10913399999999999</v>
      </c>
      <c r="D9" s="6">
        <f t="shared" si="0"/>
        <v>4.3700000000000683E-4</v>
      </c>
      <c r="E9" s="8">
        <f>D10-D9</f>
        <v>-1.3877787807814457E-17</v>
      </c>
      <c r="F9" s="6"/>
      <c r="G9" s="6"/>
    </row>
    <row r="10" spans="1:7" x14ac:dyDescent="0.3">
      <c r="A10" s="6">
        <v>8</v>
      </c>
      <c r="B10" s="7">
        <v>1.2549999999999999</v>
      </c>
      <c r="C10" s="7">
        <v>0.109571</v>
      </c>
      <c r="D10" s="6">
        <f t="shared" si="0"/>
        <v>4.3699999999999295E-4</v>
      </c>
      <c r="E10" s="6"/>
      <c r="F10" s="6"/>
      <c r="G10" s="6"/>
    </row>
    <row r="11" spans="1:7" x14ac:dyDescent="0.3">
      <c r="A11" s="6">
        <v>9</v>
      </c>
      <c r="B11" s="7">
        <v>1.26</v>
      </c>
      <c r="C11" s="7">
        <v>0.11000799999999999</v>
      </c>
      <c r="D11" s="6"/>
      <c r="E11" s="6"/>
      <c r="F11" s="6"/>
      <c r="G11" s="6"/>
    </row>
    <row r="12" spans="1:7" ht="16.8" x14ac:dyDescent="0.35">
      <c r="A12" t="s">
        <v>1</v>
      </c>
      <c r="B12">
        <f>B3-B2</f>
        <v>4.9999999999998934E-3</v>
      </c>
      <c r="F12" t="s">
        <v>10</v>
      </c>
      <c r="G12" s="2">
        <f>MAX(G2:G8)</f>
        <v>1.9999999999742446E-6</v>
      </c>
    </row>
    <row r="13" spans="1:7" ht="15.6" x14ac:dyDescent="0.35">
      <c r="C13" t="s">
        <v>11</v>
      </c>
      <c r="D13">
        <v>1.2173</v>
      </c>
      <c r="E13" t="s">
        <v>12</v>
      </c>
      <c r="F13" s="4">
        <v>1.27</v>
      </c>
    </row>
    <row r="14" spans="1:7" ht="15.6" x14ac:dyDescent="0.35">
      <c r="C14" t="s">
        <v>13</v>
      </c>
      <c r="D14" s="3">
        <f>(D13-B2)/B12</f>
        <v>0.46000000000000357</v>
      </c>
      <c r="E14" s="3" t="s">
        <v>14</v>
      </c>
      <c r="F14" s="3">
        <f>(F13-B11)/B12</f>
        <v>2.0000000000000444</v>
      </c>
    </row>
    <row r="15" spans="1:7" ht="15.6" x14ac:dyDescent="0.35">
      <c r="A15" s="10" t="s">
        <v>2</v>
      </c>
      <c r="B15" s="10"/>
      <c r="C15" t="s">
        <v>17</v>
      </c>
      <c r="D15" s="1">
        <f>C2+D14*D2+D14*(D14-1)*E2/2</f>
        <v>0.10624999260000001</v>
      </c>
      <c r="E15" t="s">
        <v>18</v>
      </c>
      <c r="F15">
        <f>C11+F14*D10+F14*(F14+1)*E9/2</f>
        <v>0.11088199999999995</v>
      </c>
    </row>
    <row r="16" spans="1:7" x14ac:dyDescent="0.3">
      <c r="A16" s="10" t="s">
        <v>3</v>
      </c>
      <c r="B16" s="10"/>
      <c r="C16" s="2" t="s">
        <v>16</v>
      </c>
      <c r="D16" s="2">
        <f>D14*(D14-1)*(D14-2)*G12/6</f>
        <v>1.275119999983578E-7</v>
      </c>
      <c r="E16" s="2" t="s">
        <v>15</v>
      </c>
      <c r="F16" s="2">
        <f>F14*(F14+1)*(F14+2)*G12/6</f>
        <v>7.999999999897363E-6</v>
      </c>
    </row>
  </sheetData>
  <mergeCells count="2">
    <mergeCell ref="A15:B15"/>
    <mergeCell ref="A16:B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DF15D-BEC5-47C2-ACFB-AA55ED941CFF}">
  <sheetPr codeName="Лист1"/>
  <dimension ref="A1:G17"/>
  <sheetViews>
    <sheetView tabSelected="1" zoomScale="115" zoomScaleNormal="115" workbookViewId="0">
      <selection activeCell="D18" sqref="D18"/>
    </sheetView>
  </sheetViews>
  <sheetFormatPr defaultRowHeight="14.4" x14ac:dyDescent="0.3"/>
  <cols>
    <col min="1" max="1" width="3.33203125" bestFit="1" customWidth="1"/>
    <col min="2" max="2" width="10.5546875" bestFit="1" customWidth="1"/>
    <col min="3" max="3" width="11.88671875" bestFit="1" customWidth="1"/>
    <col min="4" max="4" width="11.5546875" customWidth="1"/>
    <col min="5" max="5" width="11.6640625" customWidth="1"/>
    <col min="6" max="6" width="11.6640625" bestFit="1" customWidth="1"/>
    <col min="7" max="7" width="13.6640625" customWidth="1"/>
  </cols>
  <sheetData>
    <row r="1" spans="1:7" ht="16.8" x14ac:dyDescent="0.35">
      <c r="A1" s="6" t="s">
        <v>0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</row>
    <row r="2" spans="1:7" x14ac:dyDescent="0.3">
      <c r="A2" s="6">
        <v>0</v>
      </c>
      <c r="B2" s="9">
        <v>0.15</v>
      </c>
      <c r="C2" s="7">
        <v>4.4817</v>
      </c>
      <c r="D2" s="8">
        <f>C3-C2</f>
        <v>0.47130000000000027</v>
      </c>
      <c r="E2" s="8">
        <f>D3-D2</f>
        <v>-1.9504000000000006</v>
      </c>
      <c r="F2" s="8">
        <f>E3-E2</f>
        <v>6.0252000000000017</v>
      </c>
      <c r="G2" s="8">
        <f>ABS(F2)</f>
        <v>6.0252000000000017</v>
      </c>
    </row>
    <row r="3" spans="1:7" x14ac:dyDescent="0.3">
      <c r="A3" s="6">
        <v>1</v>
      </c>
      <c r="B3" s="9">
        <v>0.16</v>
      </c>
      <c r="C3" s="7">
        <v>4.9530000000000003</v>
      </c>
      <c r="D3" s="8">
        <f t="shared" ref="D3:F11" si="0">C4-C3</f>
        <v>-1.4791000000000003</v>
      </c>
      <c r="E3" s="8">
        <f>D4-D3</f>
        <v>4.0748000000000006</v>
      </c>
      <c r="F3" s="8">
        <f t="shared" si="0"/>
        <v>-6.0542000000000016</v>
      </c>
      <c r="G3" s="8">
        <f t="shared" ref="G3:G9" si="1">ABS(F3)</f>
        <v>6.0542000000000016</v>
      </c>
    </row>
    <row r="4" spans="1:7" x14ac:dyDescent="0.3">
      <c r="A4" s="6">
        <v>2</v>
      </c>
      <c r="B4" s="9">
        <v>0.17</v>
      </c>
      <c r="C4" s="7">
        <v>3.4739</v>
      </c>
      <c r="D4" s="8">
        <f t="shared" si="0"/>
        <v>2.5957000000000003</v>
      </c>
      <c r="E4" s="8">
        <f>D5-D4</f>
        <v>-1.9794000000000005</v>
      </c>
      <c r="F4" s="8">
        <f t="shared" si="0"/>
        <v>2.0663000000000005</v>
      </c>
      <c r="G4" s="8">
        <f t="shared" si="1"/>
        <v>2.0663000000000005</v>
      </c>
    </row>
    <row r="5" spans="1:7" x14ac:dyDescent="0.3">
      <c r="A5" s="6">
        <v>3</v>
      </c>
      <c r="B5" s="9">
        <v>0.18</v>
      </c>
      <c r="C5" s="7">
        <v>6.0696000000000003</v>
      </c>
      <c r="D5" s="8">
        <f t="shared" si="0"/>
        <v>0.61629999999999985</v>
      </c>
      <c r="E5" s="8">
        <f t="shared" si="0"/>
        <v>8.6899999999999977E-2</v>
      </c>
      <c r="F5" s="8">
        <f t="shared" si="0"/>
        <v>-1.2999999999999901E-2</v>
      </c>
      <c r="G5" s="8">
        <f t="shared" si="1"/>
        <v>1.2999999999999901E-2</v>
      </c>
    </row>
    <row r="6" spans="1:7" x14ac:dyDescent="0.3">
      <c r="A6" s="6">
        <v>4</v>
      </c>
      <c r="B6" s="9">
        <v>0.19</v>
      </c>
      <c r="C6" s="7">
        <v>6.6859000000000002</v>
      </c>
      <c r="D6" s="8">
        <f t="shared" si="0"/>
        <v>0.70319999999999983</v>
      </c>
      <c r="E6" s="8">
        <f>D7-D6</f>
        <v>7.3900000000000077E-2</v>
      </c>
      <c r="F6" s="8">
        <f t="shared" si="0"/>
        <v>7.8000000000004732E-3</v>
      </c>
      <c r="G6" s="8">
        <f t="shared" si="1"/>
        <v>7.8000000000004732E-3</v>
      </c>
    </row>
    <row r="7" spans="1:7" x14ac:dyDescent="0.3">
      <c r="A7" s="6">
        <v>5</v>
      </c>
      <c r="B7" s="9">
        <v>0.2</v>
      </c>
      <c r="C7" s="7">
        <v>7.3891</v>
      </c>
      <c r="D7" s="8">
        <f t="shared" si="0"/>
        <v>0.7770999999999999</v>
      </c>
      <c r="E7" s="8">
        <f>D8-D7</f>
        <v>8.170000000000055E-2</v>
      </c>
      <c r="F7" s="8">
        <f t="shared" si="0"/>
        <v>8.6999999999983757E-3</v>
      </c>
      <c r="G7" s="8">
        <f t="shared" si="1"/>
        <v>8.6999999999983757E-3</v>
      </c>
    </row>
    <row r="8" spans="1:7" x14ac:dyDescent="0.3">
      <c r="A8" s="6">
        <v>6</v>
      </c>
      <c r="B8" s="9">
        <v>0.21</v>
      </c>
      <c r="C8" s="7">
        <v>8.1661999999999999</v>
      </c>
      <c r="D8" s="8">
        <f t="shared" si="0"/>
        <v>0.85880000000000045</v>
      </c>
      <c r="E8" s="8">
        <f t="shared" si="0"/>
        <v>9.0399999999998926E-2</v>
      </c>
      <c r="F8" s="8">
        <f t="shared" si="0"/>
        <v>9.4000000000011852E-3</v>
      </c>
      <c r="G8" s="8">
        <f t="shared" si="1"/>
        <v>9.4000000000011852E-3</v>
      </c>
    </row>
    <row r="9" spans="1:7" x14ac:dyDescent="0.3">
      <c r="A9" s="6">
        <v>7</v>
      </c>
      <c r="B9" s="9">
        <v>0.22</v>
      </c>
      <c r="C9" s="7">
        <v>9.0250000000000004</v>
      </c>
      <c r="D9" s="6">
        <f t="shared" si="0"/>
        <v>0.94919999999999938</v>
      </c>
      <c r="E9" s="8">
        <f>D10-D9</f>
        <v>9.9800000000000111E-2</v>
      </c>
      <c r="F9" s="8">
        <f>E10-E9</f>
        <v>1.0500000000000398E-2</v>
      </c>
      <c r="G9" s="8">
        <f t="shared" si="1"/>
        <v>1.0500000000000398E-2</v>
      </c>
    </row>
    <row r="10" spans="1:7" x14ac:dyDescent="0.3">
      <c r="A10" s="6">
        <v>8</v>
      </c>
      <c r="B10" s="9">
        <v>0.23</v>
      </c>
      <c r="C10" s="7">
        <v>9.9741999999999997</v>
      </c>
      <c r="D10" s="6">
        <f t="shared" si="0"/>
        <v>1.0489999999999995</v>
      </c>
      <c r="E10" s="8">
        <f>D11-D10</f>
        <v>0.11030000000000051</v>
      </c>
      <c r="F10" s="6"/>
      <c r="G10" s="6"/>
    </row>
    <row r="11" spans="1:7" x14ac:dyDescent="0.3">
      <c r="A11" s="6">
        <v>9</v>
      </c>
      <c r="B11" s="9">
        <v>0.24</v>
      </c>
      <c r="C11" s="7">
        <v>11.023199999999999</v>
      </c>
      <c r="D11" s="6">
        <f t="shared" si="0"/>
        <v>1.1593</v>
      </c>
      <c r="E11" s="6"/>
      <c r="F11" s="6"/>
      <c r="G11" s="6"/>
    </row>
    <row r="12" spans="1:7" x14ac:dyDescent="0.3">
      <c r="A12" s="6">
        <v>10</v>
      </c>
      <c r="B12" s="9">
        <v>0.25</v>
      </c>
      <c r="C12" s="6">
        <v>12.182499999999999</v>
      </c>
      <c r="D12" s="6"/>
      <c r="E12" s="6"/>
      <c r="F12" s="6"/>
      <c r="G12" s="6"/>
    </row>
    <row r="13" spans="1:7" ht="16.8" x14ac:dyDescent="0.35">
      <c r="A13" t="s">
        <v>1</v>
      </c>
      <c r="B13" s="3">
        <f>B3-B2</f>
        <v>1.0000000000000009E-2</v>
      </c>
      <c r="F13" t="s">
        <v>10</v>
      </c>
      <c r="G13" s="2">
        <f>MAX(G2:G9)</f>
        <v>6.0542000000000016</v>
      </c>
    </row>
    <row r="14" spans="1:7" ht="15.6" x14ac:dyDescent="0.35">
      <c r="C14" t="s">
        <v>11</v>
      </c>
      <c r="D14">
        <v>0.14910000000000001</v>
      </c>
      <c r="E14" t="s">
        <v>12</v>
      </c>
      <c r="F14" s="5">
        <v>0.23499999999999999</v>
      </c>
    </row>
    <row r="15" spans="1:7" ht="15.6" x14ac:dyDescent="0.35">
      <c r="C15" t="s">
        <v>13</v>
      </c>
      <c r="D15" s="3">
        <f>(D14-B2)/B13</f>
        <v>-8.9999999999998331E-2</v>
      </c>
      <c r="E15" s="3" t="s">
        <v>14</v>
      </c>
      <c r="F15" s="3">
        <f>(F14-B12)/B13</f>
        <v>-1.5</v>
      </c>
    </row>
    <row r="16" spans="1:7" ht="15.6" x14ac:dyDescent="0.35">
      <c r="A16" s="10" t="s">
        <v>2</v>
      </c>
      <c r="B16" s="10"/>
      <c r="C16" t="s">
        <v>17</v>
      </c>
      <c r="D16" s="1">
        <f>C2+D15*D2+D15*(D15-1)*E2/2</f>
        <v>4.3436158800000024</v>
      </c>
      <c r="E16" t="s">
        <v>18</v>
      </c>
      <c r="F16">
        <f>C12+F15*D11+F15*(F15+1)*E10/2</f>
        <v>10.484912499999998</v>
      </c>
    </row>
    <row r="17" spans="1:6" x14ac:dyDescent="0.3">
      <c r="A17" s="10" t="s">
        <v>3</v>
      </c>
      <c r="B17" s="10"/>
      <c r="C17" s="2" t="s">
        <v>16</v>
      </c>
      <c r="D17" s="1">
        <f>ABS(D15*(D15-1)*(D15-2)*G13/6)</f>
        <v>0.20688109529999574</v>
      </c>
      <c r="E17" s="2" t="s">
        <v>15</v>
      </c>
      <c r="F17" s="1">
        <f>ABS(F15*(F15+1)*(F15+2)*G13/6)</f>
        <v>0.3783875000000001</v>
      </c>
    </row>
  </sheetData>
  <mergeCells count="2">
    <mergeCell ref="A16:B16"/>
    <mergeCell ref="A17:B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CD688-D3EF-4B90-9B58-C56CC57A0876}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Решение типового задания</vt:lpstr>
      <vt:lpstr>Задания для самостоятельного ре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Никита Хмель</dc:creator>
  <cp:lastModifiedBy>Никита Хмель</cp:lastModifiedBy>
  <dcterms:created xsi:type="dcterms:W3CDTF">2025-10-14T02:14:21Z</dcterms:created>
  <dcterms:modified xsi:type="dcterms:W3CDTF">2025-10-14T03:23:08Z</dcterms:modified>
</cp:coreProperties>
</file>