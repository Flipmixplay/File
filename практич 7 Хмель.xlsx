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kit\Downloads\Telegram Desktop\"/>
    </mc:Choice>
  </mc:AlternateContent>
  <xr:revisionPtr revIDLastSave="0" documentId="13_ncr:1_{EAFFAD30-4B63-4F96-8251-80C2C794A024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4" i="1"/>
  <c r="A4" i="1"/>
  <c r="F4" i="1" l="1"/>
  <c r="A5" i="1"/>
  <c r="E4" i="1"/>
  <c r="G3" i="1" l="1"/>
  <c r="A6" i="1"/>
  <c r="E5" i="1"/>
  <c r="G4" i="1"/>
  <c r="A7" i="1" l="1"/>
  <c r="G5" i="1"/>
  <c r="H4" i="1" s="1"/>
  <c r="F6" i="1"/>
  <c r="F5" i="1"/>
  <c r="H3" i="1"/>
  <c r="E7" i="1" l="1"/>
  <c r="A8" i="1"/>
  <c r="F7" i="1"/>
  <c r="I3" i="1"/>
  <c r="E6" i="1"/>
  <c r="G6" i="1" l="1"/>
  <c r="H5" i="1" s="1"/>
  <c r="I4" i="1" s="1"/>
  <c r="J3" i="1" s="1"/>
  <c r="F8" i="1"/>
  <c r="A9" i="1"/>
  <c r="G7" i="1"/>
  <c r="H6" i="1" s="1"/>
  <c r="I5" i="1" l="1"/>
  <c r="J4" i="1" s="1"/>
  <c r="E8" i="1"/>
  <c r="E9" i="1"/>
  <c r="A10" i="1"/>
  <c r="G8" i="1"/>
  <c r="H7" i="1" s="1"/>
  <c r="I6" i="1" s="1"/>
  <c r="J5" i="1" s="1"/>
  <c r="F10" i="1" l="1"/>
  <c r="A11" i="1"/>
  <c r="G9" i="1"/>
  <c r="H8" i="1" s="1"/>
  <c r="I7" i="1" s="1"/>
  <c r="J6" i="1" s="1"/>
  <c r="F9" i="1"/>
  <c r="G10" i="1" l="1"/>
  <c r="H9" i="1" s="1"/>
  <c r="I8" i="1" s="1"/>
  <c r="J7" i="1" s="1"/>
  <c r="E11" i="1"/>
  <c r="A12" i="1"/>
  <c r="E10" i="1"/>
  <c r="F11" i="1" l="1"/>
  <c r="A13" i="1"/>
  <c r="G11" i="1"/>
  <c r="H10" i="1" s="1"/>
  <c r="I9" i="1" s="1"/>
  <c r="J8" i="1" s="1"/>
  <c r="F12" i="1"/>
  <c r="E12" i="1" l="1"/>
  <c r="A14" i="1"/>
  <c r="G12" i="1"/>
  <c r="H11" i="1" s="1"/>
  <c r="I10" i="1" s="1"/>
  <c r="J9" i="1" s="1"/>
  <c r="E13" i="1"/>
  <c r="F13" i="1" l="1"/>
  <c r="A15" i="1"/>
  <c r="G13" i="1"/>
  <c r="H12" i="1" s="1"/>
  <c r="I11" i="1" s="1"/>
  <c r="J10" i="1" s="1"/>
  <c r="F14" i="1"/>
  <c r="E14" i="1"/>
  <c r="A16" i="1" l="1"/>
  <c r="E15" i="1"/>
  <c r="G14" i="1"/>
  <c r="H13" i="1" s="1"/>
  <c r="I12" i="1" s="1"/>
  <c r="J11" i="1" s="1"/>
  <c r="F15" i="1" l="1"/>
  <c r="A17" i="1"/>
  <c r="F16" i="1"/>
  <c r="G15" i="1"/>
  <c r="H14" i="1" s="1"/>
  <c r="I13" i="1" s="1"/>
  <c r="J12" i="1" s="1"/>
  <c r="E16" i="1" l="1"/>
  <c r="A18" i="1"/>
  <c r="G16" i="1"/>
  <c r="H15" i="1" s="1"/>
  <c r="I14" i="1" s="1"/>
  <c r="J13" i="1" s="1"/>
  <c r="E17" i="1"/>
  <c r="F17" i="1"/>
  <c r="A19" i="1" l="1"/>
  <c r="G17" i="1"/>
  <c r="H16" i="1" s="1"/>
  <c r="I15" i="1" s="1"/>
  <c r="J14" i="1" s="1"/>
  <c r="E18" i="1"/>
  <c r="F18" i="1"/>
  <c r="A20" i="1" l="1"/>
  <c r="G18" i="1"/>
  <c r="H17" i="1" s="1"/>
  <c r="I16" i="1" s="1"/>
  <c r="J15" i="1" s="1"/>
  <c r="E19" i="1"/>
  <c r="F19" i="1"/>
  <c r="A21" i="1" l="1"/>
  <c r="F20" i="1"/>
  <c r="G19" i="1"/>
  <c r="H18" i="1" s="1"/>
  <c r="I17" i="1" s="1"/>
  <c r="J16" i="1" s="1"/>
  <c r="E20" i="1" l="1"/>
  <c r="A22" i="1"/>
  <c r="E21" i="1"/>
  <c r="G20" i="1"/>
  <c r="H19" i="1" s="1"/>
  <c r="I18" i="1" s="1"/>
  <c r="J17" i="1" s="1"/>
  <c r="F21" i="1" l="1"/>
  <c r="A23" i="1"/>
  <c r="F22" i="1"/>
  <c r="F24" i="1" s="1"/>
  <c r="E22" i="1"/>
  <c r="E24" i="1" s="1"/>
  <c r="G21" i="1"/>
  <c r="H20" i="1" s="1"/>
  <c r="I19" i="1" s="1"/>
  <c r="J18" i="1" s="1"/>
  <c r="G22" i="1" l="1"/>
  <c r="H21" i="1" s="1"/>
  <c r="I20" i="1" s="1"/>
  <c r="J19" i="1" s="1"/>
  <c r="E26" i="1" s="1"/>
  <c r="D23" i="1"/>
  <c r="D24" i="1" s="1"/>
  <c r="E25" i="1" s="1"/>
</calcChain>
</file>

<file path=xl/sharedStrings.xml><?xml version="1.0" encoding="utf-8"?>
<sst xmlns="http://schemas.openxmlformats.org/spreadsheetml/2006/main" count="15" uniqueCount="15">
  <si>
    <t>∆^2yk</t>
  </si>
  <si>
    <t>Метод парабол(Симпсона)</t>
  </si>
  <si>
    <t>k</t>
  </si>
  <si>
    <t>xk</t>
  </si>
  <si>
    <t>yk</t>
  </si>
  <si>
    <t>k- нечетное</t>
  </si>
  <si>
    <t>k- четное</t>
  </si>
  <si>
    <t>∆^3yk</t>
  </si>
  <si>
    <t>∆yk</t>
  </si>
  <si>
    <t>|∆^4yk|</t>
  </si>
  <si>
    <t>E</t>
  </si>
  <si>
    <t>max|∆^4yk|=</t>
  </si>
  <si>
    <t>погрешность</t>
  </si>
  <si>
    <t>k=0; 2n</t>
  </si>
  <si>
    <t>значение интеграла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</si>
</sst>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0"/>
    <numFmt numFmtId="166" formatCode="0.00000"/>
    <numFmt numFmtId="167" formatCode="_-* #,##0.00000_-;\-* #,##0.00000_-;_-* &quot;-&quot;??_-;_-@_-"/>
    <numFmt numFmtId="173" formatCode="_-* #,##0.000000000_-;\-* #,##0.000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5" xfId="0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67" fontId="0" fillId="0" borderId="0" xfId="1" applyNumberFormat="1" applyFont="1"/>
    <xf numFmtId="166" fontId="0" fillId="0" borderId="4" xfId="0" applyNumberFormat="1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2" fontId="0" fillId="0" borderId="4" xfId="1" applyNumberFormat="1" applyFont="1" applyBorder="1" applyAlignment="1">
      <alignment horizontal="center" vertical="center"/>
    </xf>
    <xf numFmtId="173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195262</xdr:colOff>
      <xdr:row>11</xdr:row>
      <xdr:rowOff>119062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EF81FD-6642-4EE6-904A-B62D0D74A3B3}"/>
            </a:ext>
          </a:extLst>
        </xdr:cNvPr>
        <xdr:cNvSpPr txBox="1"/>
      </xdr:nvSpPr>
      <xdr:spPr>
        <a:xfrm>
          <a:off x="5072062" y="2224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45" zoomScaleNormal="145" workbookViewId="0">
      <selection activeCell="P5" sqref="P5"/>
    </sheetView>
  </sheetViews>
  <sheetFormatPr defaultRowHeight="15" x14ac:dyDescent="0.25"/>
  <cols>
    <col min="1" max="1" width="7.28515625" customWidth="1"/>
    <col min="2" max="2" width="9.140625" customWidth="1"/>
    <col min="3" max="3" width="13.28515625" customWidth="1"/>
    <col min="4" max="4" width="10.7109375" customWidth="1"/>
    <col min="5" max="5" width="14.42578125" customWidth="1"/>
    <col min="7" max="10" width="9.140625" customWidth="1"/>
  </cols>
  <sheetData>
    <row r="1" spans="1:10" ht="15.75" thickBot="1" x14ac:dyDescent="0.3">
      <c r="A1" s="9" t="s">
        <v>1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25">
      <c r="A2" s="1" t="s">
        <v>2</v>
      </c>
      <c r="B2" s="1" t="s">
        <v>3</v>
      </c>
      <c r="C2" s="1" t="s">
        <v>4</v>
      </c>
      <c r="D2" s="1" t="s">
        <v>13</v>
      </c>
      <c r="E2" s="1" t="s">
        <v>5</v>
      </c>
      <c r="F2" s="1" t="s">
        <v>6</v>
      </c>
      <c r="G2" s="1" t="s">
        <v>8</v>
      </c>
      <c r="H2" s="8" t="s">
        <v>0</v>
      </c>
      <c r="I2" s="8" t="s">
        <v>7</v>
      </c>
      <c r="J2" s="8" t="s">
        <v>9</v>
      </c>
    </row>
    <row r="3" spans="1:10" x14ac:dyDescent="0.25">
      <c r="A3" s="4">
        <v>0</v>
      </c>
      <c r="B3" s="18">
        <v>1.5</v>
      </c>
      <c r="C3" s="2">
        <f>SQRT(B3^3-0.5)</f>
        <v>1.695582495781317</v>
      </c>
      <c r="D3" s="2">
        <v>1</v>
      </c>
      <c r="E3" s="2"/>
      <c r="F3" s="2"/>
      <c r="G3" s="2">
        <f>C4-C3</f>
        <v>9.9932750603408227E-2</v>
      </c>
      <c r="H3" s="3">
        <f>G4-G3</f>
        <v>8.6421359323618496E-4</v>
      </c>
      <c r="I3" s="3">
        <f>H4-H3</f>
        <v>5.6891679580450827E-5</v>
      </c>
      <c r="J3" s="3">
        <f>ABS(I4-I3)</f>
        <v>1.2182194263798962E-5</v>
      </c>
    </row>
    <row r="4" spans="1:10" x14ac:dyDescent="0.25">
      <c r="A4" s="4">
        <f>A3+1</f>
        <v>1</v>
      </c>
      <c r="B4" s="18">
        <f>B3+0.05</f>
        <v>1.55</v>
      </c>
      <c r="C4" s="2">
        <f t="shared" ref="C4:C23" si="0">SQRT(B4^3-0.5)</f>
        <v>1.7955152463847253</v>
      </c>
      <c r="D4" s="2"/>
      <c r="E4" s="2">
        <f>IF(ISEVEN(A4),0,C4)</f>
        <v>1.7955152463847253</v>
      </c>
      <c r="F4" s="4">
        <f>IF(ISEVEN(A4),C4,0)</f>
        <v>0</v>
      </c>
      <c r="G4" s="2">
        <f>C5-C4</f>
        <v>0.10079696419664441</v>
      </c>
      <c r="H4" s="3">
        <f t="shared" ref="H4:I4" si="1">G5-G4</f>
        <v>9.2110527281663579E-4</v>
      </c>
      <c r="I4" s="3">
        <f t="shared" si="1"/>
        <v>4.4709485316651865E-5</v>
      </c>
      <c r="J4" s="3">
        <f t="shared" ref="J4:J19" si="2">ABS(I5-I4)</f>
        <v>9.5616809188125984E-6</v>
      </c>
    </row>
    <row r="5" spans="1:10" x14ac:dyDescent="0.25">
      <c r="A5" s="4">
        <f t="shared" ref="A5:A23" si="3">A4+1</f>
        <v>2</v>
      </c>
      <c r="B5" s="18">
        <f t="shared" ref="B5:B23" si="4">B4+0.05</f>
        <v>1.6</v>
      </c>
      <c r="C5" s="2">
        <f t="shared" si="0"/>
        <v>1.8963122105813697</v>
      </c>
      <c r="D5" s="2"/>
      <c r="E5" s="4">
        <f t="shared" ref="E5:E22" si="5">IF(ISEVEN(A5),0,C5)</f>
        <v>0</v>
      </c>
      <c r="F5" s="2">
        <f>IF(ISEVEN(A5),C5,0)</f>
        <v>1.8963122105813697</v>
      </c>
      <c r="G5" s="2">
        <f t="shared" ref="G5:G22" si="6">C6-C5</f>
        <v>0.10171806946946105</v>
      </c>
      <c r="H5" s="3">
        <f t="shared" ref="H5:I5" si="7">G6-G5</f>
        <v>9.6581475813328765E-4</v>
      </c>
      <c r="I5" s="3">
        <f t="shared" si="7"/>
        <v>3.5147804397839266E-5</v>
      </c>
      <c r="J5" s="3">
        <f t="shared" si="2"/>
        <v>7.5846461475848059E-6</v>
      </c>
    </row>
    <row r="6" spans="1:10" x14ac:dyDescent="0.25">
      <c r="A6" s="4">
        <f t="shared" si="3"/>
        <v>3</v>
      </c>
      <c r="B6" s="18">
        <f t="shared" si="4"/>
        <v>1.6500000000000001</v>
      </c>
      <c r="C6" s="2">
        <f t="shared" si="0"/>
        <v>1.9980302800508307</v>
      </c>
      <c r="D6" s="2"/>
      <c r="E6" s="2">
        <f>IF(ISEVEN(A6),0,C6)</f>
        <v>1.9980302800508307</v>
      </c>
      <c r="F6" s="4">
        <f t="shared" ref="F6:F22" si="8">IF(ISEVEN(A6),C6,0)</f>
        <v>0</v>
      </c>
      <c r="G6" s="2">
        <f t="shared" si="6"/>
        <v>0.10268388422759434</v>
      </c>
      <c r="H6" s="3">
        <f t="shared" ref="H6:I6" si="9">G7-G6</f>
        <v>1.0009625625311269E-3</v>
      </c>
      <c r="I6" s="3">
        <f t="shared" si="9"/>
        <v>2.756315825025446E-5</v>
      </c>
      <c r="J6" s="3">
        <f t="shared" si="2"/>
        <v>6.0717669720933287E-6</v>
      </c>
    </row>
    <row r="7" spans="1:10" x14ac:dyDescent="0.25">
      <c r="A7" s="4">
        <f t="shared" si="3"/>
        <v>4</v>
      </c>
      <c r="B7" s="18">
        <f t="shared" si="4"/>
        <v>1.7000000000000002</v>
      </c>
      <c r="C7" s="2">
        <f t="shared" si="0"/>
        <v>2.1007141642784251</v>
      </c>
      <c r="D7" s="2"/>
      <c r="E7" s="4">
        <f t="shared" si="5"/>
        <v>0</v>
      </c>
      <c r="F7" s="2">
        <f t="shared" si="8"/>
        <v>2.1007141642784251</v>
      </c>
      <c r="G7" s="2">
        <f t="shared" si="6"/>
        <v>0.10368484679012546</v>
      </c>
      <c r="H7" s="3">
        <f t="shared" ref="H7:I7" si="10">G8-G7</f>
        <v>1.0285257207813814E-3</v>
      </c>
      <c r="I7" s="3">
        <f t="shared" si="10"/>
        <v>2.1491391278161132E-5</v>
      </c>
      <c r="J7" s="3">
        <f t="shared" si="2"/>
        <v>4.8994354240328164E-6</v>
      </c>
    </row>
    <row r="8" spans="1:10" x14ac:dyDescent="0.25">
      <c r="A8" s="4">
        <f t="shared" si="3"/>
        <v>5</v>
      </c>
      <c r="B8" s="18">
        <f t="shared" si="4"/>
        <v>1.7500000000000002</v>
      </c>
      <c r="C8" s="2">
        <f t="shared" si="0"/>
        <v>2.2043990110685505</v>
      </c>
      <c r="D8" s="2"/>
      <c r="E8" s="2">
        <f t="shared" si="5"/>
        <v>2.2043990110685505</v>
      </c>
      <c r="F8" s="4">
        <f t="shared" si="8"/>
        <v>0</v>
      </c>
      <c r="G8" s="2">
        <f t="shared" si="6"/>
        <v>0.10471337251090684</v>
      </c>
      <c r="H8" s="3">
        <f t="shared" ref="H8:I8" si="11">G9-G8</f>
        <v>1.0500171120595425E-3</v>
      </c>
      <c r="I8" s="3">
        <f t="shared" si="11"/>
        <v>1.6591955854128315E-5</v>
      </c>
      <c r="J8" s="3">
        <f t="shared" si="2"/>
        <v>3.9807775440436899E-6</v>
      </c>
    </row>
    <row r="9" spans="1:10" x14ac:dyDescent="0.25">
      <c r="A9" s="4">
        <f t="shared" si="3"/>
        <v>6</v>
      </c>
      <c r="B9" s="18">
        <f t="shared" si="4"/>
        <v>1.8000000000000003</v>
      </c>
      <c r="C9" s="2">
        <f t="shared" si="0"/>
        <v>2.3091123835794574</v>
      </c>
      <c r="D9" s="2"/>
      <c r="E9" s="4">
        <f t="shared" si="5"/>
        <v>0</v>
      </c>
      <c r="F9" s="2">
        <f t="shared" si="8"/>
        <v>2.3091123835794574</v>
      </c>
      <c r="G9" s="2">
        <f t="shared" si="6"/>
        <v>0.10576338962296639</v>
      </c>
      <c r="H9" s="3">
        <f t="shared" ref="H9:I9" si="12">G10-G9</f>
        <v>1.0666090679136708E-3</v>
      </c>
      <c r="I9" s="3">
        <f t="shared" si="12"/>
        <v>1.2611178310084625E-5</v>
      </c>
      <c r="J9" s="3">
        <f t="shared" si="2"/>
        <v>3.2536662137871986E-6</v>
      </c>
    </row>
    <row r="10" spans="1:10" x14ac:dyDescent="0.25">
      <c r="A10" s="4">
        <f t="shared" si="3"/>
        <v>7</v>
      </c>
      <c r="B10" s="18">
        <f t="shared" si="4"/>
        <v>1.8500000000000003</v>
      </c>
      <c r="C10" s="2">
        <f t="shared" si="0"/>
        <v>2.4148757732024237</v>
      </c>
      <c r="D10" s="2"/>
      <c r="E10" s="2">
        <f t="shared" si="5"/>
        <v>2.4148757732024237</v>
      </c>
      <c r="F10" s="4">
        <f t="shared" si="8"/>
        <v>0</v>
      </c>
      <c r="G10" s="2">
        <f t="shared" si="6"/>
        <v>0.10682999869088006</v>
      </c>
      <c r="H10" s="3">
        <f t="shared" ref="H10:I10" si="13">G11-G10</f>
        <v>1.0792202462237555E-3</v>
      </c>
      <c r="I10" s="3">
        <f t="shared" si="13"/>
        <v>9.3575120962974268E-6</v>
      </c>
      <c r="J10" s="3">
        <f t="shared" si="2"/>
        <v>2.6729711848361148E-6</v>
      </c>
    </row>
    <row r="11" spans="1:10" x14ac:dyDescent="0.25">
      <c r="A11" s="4">
        <f t="shared" si="3"/>
        <v>8</v>
      </c>
      <c r="B11" s="18">
        <f t="shared" si="4"/>
        <v>1.9000000000000004</v>
      </c>
      <c r="C11" s="2">
        <f t="shared" si="0"/>
        <v>2.5217057718933038</v>
      </c>
      <c r="D11" s="2"/>
      <c r="E11" s="4">
        <f t="shared" si="5"/>
        <v>0</v>
      </c>
      <c r="F11" s="2">
        <f t="shared" si="8"/>
        <v>2.5217057718933038</v>
      </c>
      <c r="G11" s="2">
        <f t="shared" si="6"/>
        <v>0.10790921893710381</v>
      </c>
      <c r="H11" s="3">
        <f t="shared" ref="H11:I11" si="14">G12-G11</f>
        <v>1.0885777583200529E-3</v>
      </c>
      <c r="I11" s="3">
        <f t="shared" si="14"/>
        <v>6.6845409114613119E-6</v>
      </c>
      <c r="J11" s="3">
        <f t="shared" si="2"/>
        <v>2.2054418473693715E-6</v>
      </c>
    </row>
    <row r="12" spans="1:10" x14ac:dyDescent="0.25">
      <c r="A12" s="4">
        <f t="shared" si="3"/>
        <v>9</v>
      </c>
      <c r="B12" s="18">
        <f t="shared" si="4"/>
        <v>1.9500000000000004</v>
      </c>
      <c r="C12" s="2">
        <f t="shared" si="0"/>
        <v>2.6296149908304076</v>
      </c>
      <c r="D12" s="2"/>
      <c r="E12" s="2">
        <f t="shared" si="5"/>
        <v>2.6296149908304076</v>
      </c>
      <c r="F12" s="4">
        <f t="shared" si="8"/>
        <v>0</v>
      </c>
      <c r="G12" s="2">
        <f t="shared" si="6"/>
        <v>0.10899779669542387</v>
      </c>
      <c r="H12" s="3">
        <f t="shared" ref="H12:I12" si="15">G13-G12</f>
        <v>1.0952622992315142E-3</v>
      </c>
      <c r="I12" s="3">
        <f t="shared" si="15"/>
        <v>4.4790990640919404E-6</v>
      </c>
      <c r="J12" s="3">
        <f t="shared" si="2"/>
        <v>1.8262631469312396E-6</v>
      </c>
    </row>
    <row r="13" spans="1:10" x14ac:dyDescent="0.25">
      <c r="A13" s="4">
        <f t="shared" si="3"/>
        <v>10</v>
      </c>
      <c r="B13" s="18">
        <f t="shared" si="4"/>
        <v>2.0000000000000004</v>
      </c>
      <c r="C13" s="2">
        <f t="shared" si="0"/>
        <v>2.7386127875258315</v>
      </c>
      <c r="D13" s="2"/>
      <c r="E13" s="4">
        <f t="shared" si="5"/>
        <v>0</v>
      </c>
      <c r="F13" s="2">
        <f t="shared" si="8"/>
        <v>2.7386127875258315</v>
      </c>
      <c r="G13" s="2">
        <f t="shared" si="6"/>
        <v>0.11009305899465538</v>
      </c>
      <c r="H13" s="3">
        <f t="shared" ref="H13:I13" si="16">G14-G13</f>
        <v>1.0997413982956061E-3</v>
      </c>
      <c r="I13" s="3">
        <f t="shared" si="16"/>
        <v>2.6528359171607008E-6</v>
      </c>
      <c r="J13" s="3">
        <f t="shared" si="2"/>
        <v>1.5166970959157311E-6</v>
      </c>
    </row>
    <row r="14" spans="1:10" x14ac:dyDescent="0.25">
      <c r="A14" s="4">
        <f t="shared" si="3"/>
        <v>11</v>
      </c>
      <c r="B14" s="18">
        <f t="shared" si="4"/>
        <v>2.0500000000000003</v>
      </c>
      <c r="C14" s="2">
        <f t="shared" si="0"/>
        <v>2.8487058465204869</v>
      </c>
      <c r="D14" s="2"/>
      <c r="E14" s="2">
        <f t="shared" si="5"/>
        <v>2.8487058465204869</v>
      </c>
      <c r="F14" s="4">
        <f t="shared" si="8"/>
        <v>0</v>
      </c>
      <c r="G14" s="2">
        <f t="shared" si="6"/>
        <v>0.11119280039295099</v>
      </c>
      <c r="H14" s="3">
        <f t="shared" ref="H14:I14" si="17">G15-G14</f>
        <v>1.1023942342127668E-3</v>
      </c>
      <c r="I14" s="3">
        <f t="shared" si="17"/>
        <v>1.1361388212449697E-6</v>
      </c>
      <c r="J14" s="3">
        <f t="shared" si="2"/>
        <v>1.2624418319617803E-6</v>
      </c>
    </row>
    <row r="15" spans="1:10" x14ac:dyDescent="0.25">
      <c r="A15" s="4">
        <f t="shared" si="3"/>
        <v>12</v>
      </c>
      <c r="B15" s="18">
        <f t="shared" si="4"/>
        <v>2.1</v>
      </c>
      <c r="C15" s="2">
        <f t="shared" si="0"/>
        <v>2.9598986469134378</v>
      </c>
      <c r="D15" s="2"/>
      <c r="E15" s="4">
        <f t="shared" si="5"/>
        <v>0</v>
      </c>
      <c r="F15" s="2">
        <f t="shared" si="8"/>
        <v>2.9598986469134378</v>
      </c>
      <c r="G15" s="2">
        <f t="shared" si="6"/>
        <v>0.11229519462716375</v>
      </c>
      <c r="H15" s="3">
        <f t="shared" ref="H15:I15" si="18">G16-G15</f>
        <v>1.1035303730340118E-3</v>
      </c>
      <c r="I15" s="3">
        <f t="shared" si="18"/>
        <v>-1.263030107168106E-7</v>
      </c>
      <c r="J15" s="3">
        <f t="shared" si="2"/>
        <v>1.0524732725336605E-6</v>
      </c>
    </row>
    <row r="16" spans="1:10" x14ac:dyDescent="0.25">
      <c r="A16" s="4">
        <f t="shared" si="3"/>
        <v>13</v>
      </c>
      <c r="B16" s="18">
        <f t="shared" si="4"/>
        <v>2.15</v>
      </c>
      <c r="C16" s="2">
        <f t="shared" si="0"/>
        <v>3.0721938415406016</v>
      </c>
      <c r="D16" s="2"/>
      <c r="E16" s="2">
        <f t="shared" si="5"/>
        <v>3.0721938415406016</v>
      </c>
      <c r="F16" s="4">
        <f t="shared" si="8"/>
        <v>0</v>
      </c>
      <c r="G16" s="2">
        <f t="shared" si="6"/>
        <v>0.11339872500019776</v>
      </c>
      <c r="H16" s="3">
        <f t="shared" ref="H16:I16" si="19">G17-G16</f>
        <v>1.103404070023295E-3</v>
      </c>
      <c r="I16" s="3">
        <f t="shared" si="19"/>
        <v>-1.1787762832504711E-6</v>
      </c>
      <c r="J16" s="3">
        <f t="shared" si="2"/>
        <v>8.7821637784202267E-7</v>
      </c>
    </row>
    <row r="17" spans="1:10" x14ac:dyDescent="0.25">
      <c r="A17" s="4">
        <f t="shared" si="3"/>
        <v>14</v>
      </c>
      <c r="B17" s="18">
        <f t="shared" si="4"/>
        <v>2.1999999999999997</v>
      </c>
      <c r="C17" s="2">
        <f t="shared" si="0"/>
        <v>3.1855925665407994</v>
      </c>
      <c r="D17" s="2"/>
      <c r="E17" s="4">
        <f t="shared" si="5"/>
        <v>0</v>
      </c>
      <c r="F17" s="2">
        <f t="shared" si="8"/>
        <v>3.1855925665407994</v>
      </c>
      <c r="G17" s="2">
        <f t="shared" si="6"/>
        <v>0.11450212907022106</v>
      </c>
      <c r="H17" s="3">
        <f t="shared" ref="H17:I17" si="20">G18-G17</f>
        <v>1.1022252937400445E-3</v>
      </c>
      <c r="I17" s="3">
        <f t="shared" si="20"/>
        <v>-2.0569926610924938E-6</v>
      </c>
      <c r="J17" s="3">
        <f t="shared" si="2"/>
        <v>7.3294491009789908E-7</v>
      </c>
    </row>
    <row r="18" spans="1:10" x14ac:dyDescent="0.25">
      <c r="A18" s="4">
        <f t="shared" si="3"/>
        <v>15</v>
      </c>
      <c r="B18" s="18">
        <f t="shared" si="4"/>
        <v>2.2499999999999996</v>
      </c>
      <c r="C18" s="2">
        <f t="shared" si="0"/>
        <v>3.3000946956110204</v>
      </c>
      <c r="D18" s="2"/>
      <c r="E18" s="2">
        <f t="shared" si="5"/>
        <v>3.3000946956110204</v>
      </c>
      <c r="F18" s="4">
        <f t="shared" si="8"/>
        <v>0</v>
      </c>
      <c r="G18" s="2">
        <f t="shared" si="6"/>
        <v>0.1156043543639611</v>
      </c>
      <c r="H18" s="3">
        <f t="shared" ref="H18:I18" si="21">G19-G18</f>
        <v>1.100168301078952E-3</v>
      </c>
      <c r="I18" s="3">
        <f t="shared" si="21"/>
        <v>-2.7899375711903929E-6</v>
      </c>
      <c r="J18" s="3">
        <f t="shared" si="2"/>
        <v>6.1134170659116194E-7</v>
      </c>
    </row>
    <row r="19" spans="1:10" x14ac:dyDescent="0.25">
      <c r="A19" s="4">
        <f t="shared" si="3"/>
        <v>16</v>
      </c>
      <c r="B19" s="18">
        <f t="shared" si="4"/>
        <v>2.2999999999999994</v>
      </c>
      <c r="C19" s="2">
        <f t="shared" si="0"/>
        <v>3.4156990499749815</v>
      </c>
      <c r="D19" s="2"/>
      <c r="E19" s="4">
        <f t="shared" si="5"/>
        <v>0</v>
      </c>
      <c r="F19" s="2">
        <f t="shared" si="8"/>
        <v>3.4156990499749815</v>
      </c>
      <c r="G19" s="2">
        <f t="shared" si="6"/>
        <v>0.11670452266504006</v>
      </c>
      <c r="H19" s="3">
        <f t="shared" ref="H19:I19" si="22">G20-G19</f>
        <v>1.0973783635077616E-3</v>
      </c>
      <c r="I19" s="3">
        <f t="shared" si="22"/>
        <v>-3.4012792777815548E-6</v>
      </c>
      <c r="J19" s="3">
        <f t="shared" si="2"/>
        <v>5.0917306904096904E-7</v>
      </c>
    </row>
    <row r="20" spans="1:10" x14ac:dyDescent="0.25">
      <c r="A20" s="4">
        <f t="shared" si="3"/>
        <v>17</v>
      </c>
      <c r="B20" s="18">
        <f t="shared" si="4"/>
        <v>2.3499999999999992</v>
      </c>
      <c r="C20" s="2">
        <f t="shared" si="0"/>
        <v>3.5324035726400216</v>
      </c>
      <c r="D20" s="2"/>
      <c r="E20" s="2">
        <f t="shared" si="5"/>
        <v>3.5324035726400216</v>
      </c>
      <c r="F20" s="4">
        <f t="shared" si="8"/>
        <v>0</v>
      </c>
      <c r="G20" s="2">
        <f t="shared" si="6"/>
        <v>0.11780190102854782</v>
      </c>
      <c r="H20" s="3">
        <f t="shared" ref="H20:I20" si="23">G21-G20</f>
        <v>1.0939770842299801E-3</v>
      </c>
      <c r="I20" s="3">
        <f t="shared" si="23"/>
        <v>-3.9104523468225239E-6</v>
      </c>
      <c r="J20" s="3"/>
    </row>
    <row r="21" spans="1:10" x14ac:dyDescent="0.25">
      <c r="A21" s="4">
        <f t="shared" si="3"/>
        <v>18</v>
      </c>
      <c r="B21" s="18">
        <f t="shared" si="4"/>
        <v>2.399999999999999</v>
      </c>
      <c r="C21" s="2">
        <f t="shared" si="0"/>
        <v>3.6502054736685694</v>
      </c>
      <c r="D21" s="2"/>
      <c r="E21" s="4">
        <f t="shared" si="5"/>
        <v>0</v>
      </c>
      <c r="F21" s="2">
        <f t="shared" si="8"/>
        <v>3.6502054736685694</v>
      </c>
      <c r="G21" s="2">
        <f t="shared" si="6"/>
        <v>0.1188958781127778</v>
      </c>
      <c r="H21" s="3">
        <f t="shared" ref="H21" si="24">G22-G21</f>
        <v>1.0900666318831576E-3</v>
      </c>
      <c r="I21" s="3"/>
      <c r="J21" s="3"/>
    </row>
    <row r="22" spans="1:10" x14ac:dyDescent="0.25">
      <c r="A22" s="4">
        <f t="shared" si="3"/>
        <v>19</v>
      </c>
      <c r="B22" s="18">
        <f t="shared" si="4"/>
        <v>2.4499999999999988</v>
      </c>
      <c r="C22" s="2">
        <f t="shared" si="0"/>
        <v>3.7691013517813472</v>
      </c>
      <c r="D22" s="2"/>
      <c r="E22" s="2">
        <f t="shared" si="5"/>
        <v>3.7691013517813472</v>
      </c>
      <c r="F22" s="4">
        <f t="shared" si="8"/>
        <v>0</v>
      </c>
      <c r="G22" s="2">
        <f t="shared" si="6"/>
        <v>0.11998594474466096</v>
      </c>
      <c r="H22" s="3"/>
      <c r="I22" s="3"/>
      <c r="J22" s="3"/>
    </row>
    <row r="23" spans="1:10" x14ac:dyDescent="0.25">
      <c r="A23" s="4">
        <f t="shared" si="3"/>
        <v>20</v>
      </c>
      <c r="B23" s="18">
        <f t="shared" si="4"/>
        <v>2.4999999999999987</v>
      </c>
      <c r="C23" s="2">
        <f t="shared" si="0"/>
        <v>3.8890872965260082</v>
      </c>
      <c r="D23" s="2">
        <f t="shared" ref="D23" si="25">C23</f>
        <v>3.8890872965260082</v>
      </c>
      <c r="E23" s="2"/>
      <c r="F23" s="2"/>
      <c r="G23" s="2"/>
      <c r="H23" s="2"/>
      <c r="I23" s="2"/>
      <c r="J23" s="2"/>
    </row>
    <row r="24" spans="1:10" ht="23.25" customHeight="1" x14ac:dyDescent="0.25">
      <c r="A24" s="13" t="s">
        <v>10</v>
      </c>
      <c r="B24" s="14"/>
      <c r="C24" s="15"/>
      <c r="D24" s="5">
        <f>SUM(D3:D23)</f>
        <v>4.8890872965260082</v>
      </c>
      <c r="E24" s="5">
        <f t="shared" ref="E24:F24" si="26">SUM(E3:E23)</f>
        <v>27.564934609630416</v>
      </c>
      <c r="F24" s="5">
        <f t="shared" si="26"/>
        <v>24.777853054956175</v>
      </c>
      <c r="G24" s="12" t="s">
        <v>11</v>
      </c>
      <c r="H24" s="12"/>
      <c r="I24" s="12"/>
      <c r="J24" s="7">
        <f>MAX(J3:J19)</f>
        <v>1.2182194263798962E-5</v>
      </c>
    </row>
    <row r="25" spans="1:10" x14ac:dyDescent="0.25">
      <c r="B25" s="17" t="s">
        <v>14</v>
      </c>
      <c r="C25" s="17"/>
      <c r="D25" s="17"/>
      <c r="E25" s="6">
        <f>0.1*(D24+4*E24+2*F24)/3</f>
        <v>5.4901510614986684</v>
      </c>
    </row>
    <row r="26" spans="1:10" x14ac:dyDescent="0.25">
      <c r="B26" s="16" t="s">
        <v>12</v>
      </c>
      <c r="C26" s="16"/>
      <c r="D26" s="16"/>
      <c r="E26" s="19">
        <f>(B23-B3)*J24/180</f>
        <v>6.7678857021105246E-8</v>
      </c>
    </row>
  </sheetData>
  <mergeCells count="5">
    <mergeCell ref="A1:J1"/>
    <mergeCell ref="G24:I24"/>
    <mergeCell ref="A24:C24"/>
    <mergeCell ref="B26:D26"/>
    <mergeCell ref="B25:D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Самат</dc:creator>
  <cp:lastModifiedBy>c9642</cp:lastModifiedBy>
  <dcterms:created xsi:type="dcterms:W3CDTF">2015-06-05T18:19:34Z</dcterms:created>
  <dcterms:modified xsi:type="dcterms:W3CDTF">2025-10-27T19:30:42Z</dcterms:modified>
</cp:coreProperties>
</file>