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311\Desktop\"/>
    </mc:Choice>
  </mc:AlternateContent>
  <xr:revisionPtr revIDLastSave="0" documentId="13_ncr:1_{52F90C31-6587-4F59-BC8B-EC7D768E5B3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" i="2" l="1"/>
  <c r="E25" i="2" s="1"/>
  <c r="E24" i="2"/>
  <c r="D14" i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" i="2"/>
  <c r="B2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A4" i="2"/>
  <c r="A5" i="2" s="1"/>
  <c r="A6" i="2" s="1"/>
  <c r="A7" i="2" s="1"/>
  <c r="A8" i="2" s="1"/>
  <c r="A9" i="2" s="1"/>
  <c r="A10" i="2" s="1"/>
  <c r="A11" i="2" s="1"/>
  <c r="A12" i="2" s="1"/>
  <c r="D15" i="1"/>
  <c r="F2" i="1"/>
  <c r="E2" i="1"/>
  <c r="D2" i="1"/>
  <c r="C2" i="1"/>
  <c r="C3" i="1"/>
  <c r="B3" i="1"/>
  <c r="B4" i="1"/>
  <c r="B5" i="1"/>
  <c r="B6" i="1"/>
  <c r="B7" i="1" s="1"/>
  <c r="B8" i="1" s="1"/>
  <c r="B9" i="1" s="1"/>
  <c r="B10" i="1" s="1"/>
  <c r="B11" i="1" s="1"/>
  <c r="B12" i="1" s="1"/>
  <c r="B13" i="1"/>
  <c r="A4" i="1"/>
  <c r="A5" i="1" s="1"/>
  <c r="A6" i="1" s="1"/>
  <c r="A7" i="1" s="1"/>
  <c r="A8" i="1" s="1"/>
  <c r="A9" i="1" s="1"/>
  <c r="A10" i="1" s="1"/>
  <c r="A11" i="1" s="1"/>
  <c r="A12" i="1" s="1"/>
  <c r="C5" i="1" l="1"/>
  <c r="C4" i="1"/>
  <c r="D3" i="1" s="1"/>
  <c r="D4" i="1" l="1"/>
  <c r="E3" i="1" s="1"/>
  <c r="F3" i="1" s="1"/>
  <c r="C6" i="1"/>
  <c r="D5" i="1" s="1"/>
  <c r="C7" i="1"/>
  <c r="E4" i="1"/>
  <c r="F4" i="1" s="1"/>
  <c r="D6" i="1" l="1"/>
  <c r="E5" i="1" s="1"/>
  <c r="F5" i="1" s="1"/>
  <c r="C8" i="1"/>
  <c r="D7" i="1" s="1"/>
  <c r="E6" i="1" s="1"/>
  <c r="F6" i="1" s="1"/>
  <c r="C9" i="1" l="1"/>
  <c r="D8" i="1" s="1"/>
  <c r="E7" i="1" s="1"/>
  <c r="F7" i="1" s="1"/>
  <c r="C10" i="1" l="1"/>
  <c r="D9" i="1" s="1"/>
  <c r="E8" i="1" s="1"/>
  <c r="F8" i="1" s="1"/>
  <c r="C11" i="1" l="1"/>
  <c r="D10" i="1" s="1"/>
  <c r="E9" i="1" s="1"/>
  <c r="F9" i="1" s="1"/>
  <c r="C12" i="1" l="1"/>
  <c r="D11" i="1"/>
  <c r="E10" i="1" s="1"/>
  <c r="F10" i="1" s="1"/>
  <c r="F13" i="1" s="1"/>
  <c r="D2" i="2"/>
  <c r="E2" i="2"/>
  <c r="F2" i="2" s="1"/>
</calcChain>
</file>

<file path=xl/sharedStrings.xml><?xml version="1.0" encoding="utf-8"?>
<sst xmlns="http://schemas.openxmlformats.org/spreadsheetml/2006/main" count="20" uniqueCount="11">
  <si>
    <t>k</t>
  </si>
  <si>
    <t>xk</t>
  </si>
  <si>
    <t>yk =1/(1+xk^2)</t>
  </si>
  <si>
    <t>∆yk</t>
  </si>
  <si>
    <t>∆^2yk</t>
  </si>
  <si>
    <t>|∆^2yk|</t>
  </si>
  <si>
    <t>h=</t>
  </si>
  <si>
    <t>Значение интеграла</t>
  </si>
  <si>
    <t>погрешность</t>
  </si>
  <si>
    <t>max|∆^2yk|=</t>
  </si>
  <si>
    <t>yk =₀∫¹ √x³+1,5dx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</si>
</sst>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right"/>
    </xf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Fill="1" applyBorder="1"/>
    <xf numFmtId="0" fontId="0" fillId="0" borderId="0" xfId="0" applyBorder="1" applyAlignment="1">
      <alignment horizontal="right"/>
    </xf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activeCell="D14" sqref="D14"/>
    </sheetView>
  </sheetViews>
  <sheetFormatPr defaultRowHeight="15" x14ac:dyDescent="0.25"/>
  <cols>
    <col min="2" max="2" width="11.5703125" customWidth="1"/>
    <col min="3" max="3" width="14.85546875" customWidth="1"/>
    <col min="4" max="4" width="19.42578125" customWidth="1"/>
    <col min="5" max="5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0</v>
      </c>
      <c r="B2" s="1">
        <v>0</v>
      </c>
      <c r="C2" s="1">
        <f>1/(1+POWER(B2,2))</f>
        <v>1</v>
      </c>
      <c r="D2" s="2">
        <f>C3-C2</f>
        <v>-9.9009900990099098E-3</v>
      </c>
      <c r="E2" s="2">
        <f>D3-D2</f>
        <v>-1.8659558263518727E-2</v>
      </c>
      <c r="F2" s="1">
        <f>ABS(E2)</f>
        <v>1.8659558263518727E-2</v>
      </c>
    </row>
    <row r="3" spans="1:6" x14ac:dyDescent="0.25">
      <c r="A3" s="1">
        <v>1</v>
      </c>
      <c r="B3" s="1">
        <f>B2+$B$13</f>
        <v>0.1</v>
      </c>
      <c r="C3" s="1">
        <f>1/(1+POWER(B3,2))</f>
        <v>0.99009900990099009</v>
      </c>
      <c r="D3" s="2">
        <f>C4-C3</f>
        <v>-2.8560548362528637E-2</v>
      </c>
      <c r="E3" s="2">
        <f>D4-D3</f>
        <v>-1.5546720515382417E-2</v>
      </c>
      <c r="F3" s="1">
        <f t="shared" ref="F3:F10" si="0">ABS(E3)</f>
        <v>1.5546720515382417E-2</v>
      </c>
    </row>
    <row r="4" spans="1:6" x14ac:dyDescent="0.25">
      <c r="A4" s="1">
        <f>A3+1</f>
        <v>2</v>
      </c>
      <c r="B4" s="1">
        <f t="shared" ref="B4:B12" si="1">B3+$B$13</f>
        <v>0.2</v>
      </c>
      <c r="C4" s="2">
        <f t="shared" ref="C4:C12" si="2">1/(1+POWER(B4,2))</f>
        <v>0.96153846153846145</v>
      </c>
      <c r="D4" s="2">
        <f t="shared" ref="D4:E11" si="3">C5-C4</f>
        <v>-4.4107268877911054E-2</v>
      </c>
      <c r="E4" s="2">
        <f t="shared" si="3"/>
        <v>-1.1254958265398018E-2</v>
      </c>
      <c r="F4" s="1">
        <f t="shared" si="0"/>
        <v>1.1254958265398018E-2</v>
      </c>
    </row>
    <row r="5" spans="1:6" x14ac:dyDescent="0.25">
      <c r="A5" s="1">
        <f t="shared" ref="A5:A12" si="4">A4+1</f>
        <v>3</v>
      </c>
      <c r="B5" s="1">
        <f t="shared" si="1"/>
        <v>0.30000000000000004</v>
      </c>
      <c r="C5" s="1">
        <f t="shared" si="2"/>
        <v>0.9174311926605504</v>
      </c>
      <c r="D5" s="2">
        <f t="shared" si="3"/>
        <v>-5.5362227143309073E-2</v>
      </c>
      <c r="E5" s="2">
        <f t="shared" si="3"/>
        <v>-6.7067383739322084E-3</v>
      </c>
      <c r="F5" s="1">
        <f t="shared" si="0"/>
        <v>6.7067383739322084E-3</v>
      </c>
    </row>
    <row r="6" spans="1:6" x14ac:dyDescent="0.25">
      <c r="A6" s="1">
        <f t="shared" si="4"/>
        <v>4</v>
      </c>
      <c r="B6" s="1">
        <f t="shared" si="1"/>
        <v>0.4</v>
      </c>
      <c r="C6" s="1">
        <f t="shared" si="2"/>
        <v>0.86206896551724133</v>
      </c>
      <c r="D6" s="2">
        <f t="shared" si="3"/>
        <v>-6.2068965517241281E-2</v>
      </c>
      <c r="E6" s="2">
        <f t="shared" si="3"/>
        <v>-2.6369168356998873E-3</v>
      </c>
      <c r="F6" s="1">
        <f t="shared" si="0"/>
        <v>2.6369168356998873E-3</v>
      </c>
    </row>
    <row r="7" spans="1:6" x14ac:dyDescent="0.25">
      <c r="A7" s="1">
        <f t="shared" si="4"/>
        <v>5</v>
      </c>
      <c r="B7" s="1">
        <f t="shared" si="1"/>
        <v>0.5</v>
      </c>
      <c r="C7" s="1">
        <f t="shared" si="2"/>
        <v>0.8</v>
      </c>
      <c r="D7" s="2">
        <f t="shared" si="3"/>
        <v>-6.4705882352941169E-2</v>
      </c>
      <c r="E7" s="2">
        <f t="shared" si="3"/>
        <v>5.5270430319775965E-4</v>
      </c>
      <c r="F7" s="1">
        <f t="shared" si="0"/>
        <v>5.5270430319775965E-4</v>
      </c>
    </row>
    <row r="8" spans="1:6" x14ac:dyDescent="0.25">
      <c r="A8" s="1">
        <f t="shared" si="4"/>
        <v>6</v>
      </c>
      <c r="B8" s="1">
        <f t="shared" si="1"/>
        <v>0.6</v>
      </c>
      <c r="C8" s="1">
        <f t="shared" si="2"/>
        <v>0.73529411764705888</v>
      </c>
      <c r="D8" s="2">
        <f t="shared" si="3"/>
        <v>-6.4153178049743409E-2</v>
      </c>
      <c r="E8" s="2">
        <f t="shared" si="3"/>
        <v>2.7683360134035384E-3</v>
      </c>
      <c r="F8" s="1">
        <f t="shared" si="0"/>
        <v>2.7683360134035384E-3</v>
      </c>
    </row>
    <row r="9" spans="1:6" x14ac:dyDescent="0.25">
      <c r="A9" s="1">
        <f t="shared" si="4"/>
        <v>7</v>
      </c>
      <c r="B9" s="1">
        <f t="shared" si="1"/>
        <v>0.7</v>
      </c>
      <c r="C9" s="1">
        <f t="shared" si="2"/>
        <v>0.67114093959731547</v>
      </c>
      <c r="D9" s="2">
        <f t="shared" si="3"/>
        <v>-6.1384842036339871E-2</v>
      </c>
      <c r="E9" s="2">
        <f t="shared" si="3"/>
        <v>4.1149323206681743E-3</v>
      </c>
      <c r="F9" s="1">
        <f t="shared" si="0"/>
        <v>4.1149323206681743E-3</v>
      </c>
    </row>
    <row r="10" spans="1:6" x14ac:dyDescent="0.25">
      <c r="A10" s="1">
        <f t="shared" si="4"/>
        <v>8</v>
      </c>
      <c r="B10" s="1">
        <f t="shared" si="1"/>
        <v>0.79999999999999993</v>
      </c>
      <c r="C10" s="1">
        <f t="shared" si="2"/>
        <v>0.6097560975609756</v>
      </c>
      <c r="D10" s="2">
        <f t="shared" si="3"/>
        <v>-5.7269909715671696E-2</v>
      </c>
      <c r="E10" s="2">
        <f t="shared" si="3"/>
        <v>4.7837218703677964E-3</v>
      </c>
      <c r="F10" s="1">
        <f t="shared" si="0"/>
        <v>4.7837218703677964E-3</v>
      </c>
    </row>
    <row r="11" spans="1:6" x14ac:dyDescent="0.25">
      <c r="A11" s="1">
        <f t="shared" si="4"/>
        <v>9</v>
      </c>
      <c r="B11" s="1">
        <f t="shared" si="1"/>
        <v>0.89999999999999991</v>
      </c>
      <c r="C11" s="1">
        <f t="shared" si="2"/>
        <v>0.5524861878453039</v>
      </c>
      <c r="D11" s="2">
        <f t="shared" si="3"/>
        <v>-5.24861878453039E-2</v>
      </c>
      <c r="E11" s="1"/>
      <c r="F11" s="1"/>
    </row>
    <row r="12" spans="1:6" ht="15.75" thickBot="1" x14ac:dyDescent="0.3">
      <c r="A12" s="4">
        <f t="shared" si="4"/>
        <v>10</v>
      </c>
      <c r="B12" s="1">
        <f t="shared" si="1"/>
        <v>0.99999999999999989</v>
      </c>
      <c r="C12" s="1">
        <f t="shared" si="2"/>
        <v>0.5</v>
      </c>
      <c r="D12" s="2"/>
      <c r="E12" s="4"/>
      <c r="F12" s="4"/>
    </row>
    <row r="13" spans="1:6" ht="16.5" thickTop="1" thickBot="1" x14ac:dyDescent="0.3">
      <c r="A13" s="5" t="s">
        <v>6</v>
      </c>
      <c r="B13" s="3">
        <f>(1-0)/10</f>
        <v>0.1</v>
      </c>
      <c r="E13" s="8" t="s">
        <v>9</v>
      </c>
      <c r="F13" s="9">
        <f>MAX(F2:F10)</f>
        <v>1.8659558263518727E-2</v>
      </c>
    </row>
    <row r="14" spans="1:6" ht="15.75" thickTop="1" x14ac:dyDescent="0.25">
      <c r="B14" s="10" t="s">
        <v>7</v>
      </c>
      <c r="C14" s="11"/>
      <c r="D14" s="6">
        <f>B13*(C2/2+(SUM(C3:C11)+C11/2))</f>
        <v>0.78760580661905488</v>
      </c>
    </row>
    <row r="15" spans="1:6" ht="15.75" thickBot="1" x14ac:dyDescent="0.3">
      <c r="B15" s="12" t="s">
        <v>8</v>
      </c>
      <c r="C15" s="13"/>
      <c r="D15" s="7">
        <f>(B12-B2)*F13/12</f>
        <v>1.5549631886265603E-3</v>
      </c>
    </row>
    <row r="16" spans="1:6" ht="15.75" thickTop="1" x14ac:dyDescent="0.25"/>
  </sheetData>
  <mergeCells count="2">
    <mergeCell ref="B14:C14"/>
    <mergeCell ref="B15:C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38A48-671E-4158-927C-1026F26EBCBC}">
  <dimension ref="A1:F33"/>
  <sheetViews>
    <sheetView tabSelected="1" zoomScale="145" zoomScaleNormal="145" workbookViewId="0">
      <selection activeCell="C2" sqref="C2"/>
    </sheetView>
  </sheetViews>
  <sheetFormatPr defaultRowHeight="15" x14ac:dyDescent="0.25"/>
  <cols>
    <col min="3" max="3" width="18.28515625" customWidth="1"/>
    <col min="4" max="4" width="11.7109375" customWidth="1"/>
    <col min="5" max="5" width="11.28515625" customWidth="1"/>
  </cols>
  <sheetData>
    <row r="1" spans="1:6" x14ac:dyDescent="0.25">
      <c r="A1" s="1" t="s">
        <v>0</v>
      </c>
      <c r="B1" s="1" t="s">
        <v>1</v>
      </c>
      <c r="C1" s="1" t="s">
        <v>10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0</v>
      </c>
      <c r="B2" s="1">
        <v>0</v>
      </c>
      <c r="C2" s="1">
        <f>SQRT(POWER(B2,3)+1.5)</f>
        <v>1.2247448713915889</v>
      </c>
      <c r="D2" s="2">
        <f>C3-C2</f>
        <v>5.1029973205718449E-5</v>
      </c>
      <c r="E2" s="2">
        <f>D3-D2</f>
        <v>3.0612032534182987E-4</v>
      </c>
      <c r="F2" s="1">
        <f>ABS(E2)</f>
        <v>3.0612032534182987E-4</v>
      </c>
    </row>
    <row r="3" spans="1:6" x14ac:dyDescent="0.25">
      <c r="A3" s="1">
        <v>1</v>
      </c>
      <c r="B3" s="1">
        <f>B2+$B$23</f>
        <v>0.05</v>
      </c>
      <c r="C3" s="1">
        <f t="shared" ref="C3:C22" si="0">SQRT(POWER(B3,3)+1.5)</f>
        <v>1.2247959013647947</v>
      </c>
      <c r="D3" s="2">
        <f t="shared" ref="D3:E21" si="1">C4-C3</f>
        <v>3.5715029854754832E-4</v>
      </c>
      <c r="E3" s="2">
        <f t="shared" si="1"/>
        <v>6.1173324683982955E-4</v>
      </c>
      <c r="F3" s="1">
        <f t="shared" ref="F3:F20" si="2">ABS(E3)</f>
        <v>6.1173324683982955E-4</v>
      </c>
    </row>
    <row r="4" spans="1:6" x14ac:dyDescent="0.25">
      <c r="A4" s="1">
        <f>A3+1</f>
        <v>2</v>
      </c>
      <c r="B4" s="1">
        <f t="shared" ref="B4:B22" si="3">B3+$B$23</f>
        <v>0.1</v>
      </c>
      <c r="C4" s="1">
        <f t="shared" si="0"/>
        <v>1.2251530516633422</v>
      </c>
      <c r="D4" s="2">
        <f t="shared" si="1"/>
        <v>9.6888354538737786E-4</v>
      </c>
      <c r="E4" s="2">
        <f t="shared" si="1"/>
        <v>9.1569588658324541E-4</v>
      </c>
      <c r="F4" s="1">
        <f t="shared" si="2"/>
        <v>9.1569588658324541E-4</v>
      </c>
    </row>
    <row r="5" spans="1:6" x14ac:dyDescent="0.25">
      <c r="A5" s="1">
        <f t="shared" ref="A5:A12" si="4">A4+1</f>
        <v>3</v>
      </c>
      <c r="B5" s="1">
        <f t="shared" si="3"/>
        <v>0.15000000000000002</v>
      </c>
      <c r="C5" s="1">
        <f t="shared" si="0"/>
        <v>1.2261219352087296</v>
      </c>
      <c r="D5" s="2">
        <f t="shared" si="1"/>
        <v>1.8845794319706233E-3</v>
      </c>
      <c r="E5" s="2">
        <f t="shared" si="1"/>
        <v>1.2161311518421591E-3</v>
      </c>
      <c r="F5" s="1">
        <f t="shared" si="2"/>
        <v>1.2161311518421591E-3</v>
      </c>
    </row>
    <row r="6" spans="1:6" x14ac:dyDescent="0.25">
      <c r="A6" s="1">
        <f t="shared" si="4"/>
        <v>4</v>
      </c>
      <c r="B6" s="1">
        <f t="shared" si="3"/>
        <v>0.2</v>
      </c>
      <c r="C6" s="1">
        <f t="shared" si="0"/>
        <v>1.2280065146407002</v>
      </c>
      <c r="D6" s="2">
        <f t="shared" si="1"/>
        <v>3.1007105838127824E-3</v>
      </c>
      <c r="E6" s="2">
        <f t="shared" si="1"/>
        <v>1.5104787182198542E-3</v>
      </c>
      <c r="F6" s="1">
        <f t="shared" si="2"/>
        <v>1.5104787182198542E-3</v>
      </c>
    </row>
    <row r="7" spans="1:6" x14ac:dyDescent="0.25">
      <c r="A7" s="1">
        <f t="shared" si="4"/>
        <v>5</v>
      </c>
      <c r="B7" s="1">
        <f t="shared" si="3"/>
        <v>0.25</v>
      </c>
      <c r="C7" s="1">
        <f t="shared" si="0"/>
        <v>1.231107225224513</v>
      </c>
      <c r="D7" s="2">
        <f t="shared" si="1"/>
        <v>4.6111893020326367E-3</v>
      </c>
      <c r="E7" s="2">
        <f t="shared" si="1"/>
        <v>1.795591149770015E-3</v>
      </c>
      <c r="F7" s="1">
        <f t="shared" si="2"/>
        <v>1.795591149770015E-3</v>
      </c>
    </row>
    <row r="8" spans="1:6" x14ac:dyDescent="0.25">
      <c r="A8" s="1">
        <f t="shared" si="4"/>
        <v>6</v>
      </c>
      <c r="B8" s="1">
        <f t="shared" si="3"/>
        <v>0.3</v>
      </c>
      <c r="C8" s="1">
        <f t="shared" si="0"/>
        <v>1.2357184145265456</v>
      </c>
      <c r="D8" s="2">
        <f t="shared" si="1"/>
        <v>6.4067804518026517E-3</v>
      </c>
      <c r="E8" s="2">
        <f t="shared" si="1"/>
        <v>2.0678806389275994E-3</v>
      </c>
      <c r="F8" s="1">
        <f t="shared" si="2"/>
        <v>2.0678806389275994E-3</v>
      </c>
    </row>
    <row r="9" spans="1:6" x14ac:dyDescent="0.25">
      <c r="A9" s="1">
        <f t="shared" si="4"/>
        <v>7</v>
      </c>
      <c r="B9" s="1">
        <f t="shared" si="3"/>
        <v>0.35</v>
      </c>
      <c r="C9" s="1">
        <f t="shared" si="0"/>
        <v>1.2421251949783483</v>
      </c>
      <c r="D9" s="2">
        <f t="shared" si="1"/>
        <v>8.4746610907302511E-3</v>
      </c>
      <c r="E9" s="2">
        <f t="shared" si="1"/>
        <v>2.3235167692123859E-3</v>
      </c>
      <c r="F9" s="1">
        <f t="shared" si="2"/>
        <v>2.3235167692123859E-3</v>
      </c>
    </row>
    <row r="10" spans="1:6" x14ac:dyDescent="0.25">
      <c r="A10" s="1">
        <f t="shared" si="4"/>
        <v>8</v>
      </c>
      <c r="B10" s="1">
        <f t="shared" si="3"/>
        <v>0.39999999999999997</v>
      </c>
      <c r="C10" s="1">
        <f t="shared" si="0"/>
        <v>1.2505998560690785</v>
      </c>
      <c r="D10" s="2">
        <f t="shared" si="1"/>
        <v>1.0798177859942637E-2</v>
      </c>
      <c r="E10" s="2">
        <f t="shared" si="1"/>
        <v>2.5586666092323185E-3</v>
      </c>
      <c r="F10" s="1">
        <f t="shared" si="2"/>
        <v>2.5586666092323185E-3</v>
      </c>
    </row>
    <row r="11" spans="1:6" x14ac:dyDescent="0.25">
      <c r="A11" s="1">
        <f t="shared" si="4"/>
        <v>9</v>
      </c>
      <c r="B11" s="1">
        <f t="shared" si="3"/>
        <v>0.44999999999999996</v>
      </c>
      <c r="C11" s="1">
        <f t="shared" si="0"/>
        <v>1.2613980339290212</v>
      </c>
      <c r="D11" s="2">
        <f t="shared" si="1"/>
        <v>1.3356844469174955E-2</v>
      </c>
      <c r="E11" s="2">
        <f t="shared" si="1"/>
        <v>2.7697589116495447E-3</v>
      </c>
      <c r="F11" s="1">
        <f t="shared" si="2"/>
        <v>2.7697589116495447E-3</v>
      </c>
    </row>
    <row r="12" spans="1:6" x14ac:dyDescent="0.25">
      <c r="A12" s="4">
        <f t="shared" si="4"/>
        <v>10</v>
      </c>
      <c r="B12" s="1">
        <f t="shared" si="3"/>
        <v>0.49999999999999994</v>
      </c>
      <c r="C12" s="1">
        <f t="shared" si="0"/>
        <v>1.2747548783981961</v>
      </c>
      <c r="D12" s="2">
        <f t="shared" si="1"/>
        <v>1.61266033808245E-2</v>
      </c>
      <c r="E12" s="2">
        <f t="shared" si="1"/>
        <v>2.9537463451800861E-3</v>
      </c>
      <c r="F12" s="1">
        <f t="shared" si="2"/>
        <v>2.9537463451800861E-3</v>
      </c>
    </row>
    <row r="13" spans="1:6" x14ac:dyDescent="0.25">
      <c r="A13" s="16">
        <v>11</v>
      </c>
      <c r="B13" s="1">
        <f t="shared" si="3"/>
        <v>0.54999999999999993</v>
      </c>
      <c r="C13" s="1">
        <f t="shared" si="0"/>
        <v>1.2908814817790206</v>
      </c>
      <c r="D13" s="2">
        <f t="shared" si="1"/>
        <v>1.9080349726004586E-2</v>
      </c>
      <c r="E13" s="2">
        <f t="shared" si="1"/>
        <v>3.1083357902264019E-3</v>
      </c>
      <c r="F13" s="1">
        <f t="shared" si="2"/>
        <v>3.1083357902264019E-3</v>
      </c>
    </row>
    <row r="14" spans="1:6" x14ac:dyDescent="0.25">
      <c r="A14" s="1">
        <v>12</v>
      </c>
      <c r="B14" s="1">
        <f t="shared" si="3"/>
        <v>0.6</v>
      </c>
      <c r="C14" s="1">
        <f t="shared" si="0"/>
        <v>1.3099618315050252</v>
      </c>
      <c r="D14" s="2">
        <f t="shared" si="1"/>
        <v>2.2188685516230988E-2</v>
      </c>
      <c r="E14" s="2">
        <f t="shared" si="1"/>
        <v>3.2321583861292247E-3</v>
      </c>
      <c r="F14" s="1">
        <f t="shared" si="2"/>
        <v>3.2321583861292247E-3</v>
      </c>
    </row>
    <row r="15" spans="1:6" x14ac:dyDescent="0.25">
      <c r="A15" s="1">
        <v>13</v>
      </c>
      <c r="B15" s="1">
        <f t="shared" si="3"/>
        <v>0.65</v>
      </c>
      <c r="C15" s="1">
        <f t="shared" si="0"/>
        <v>1.3321505170212562</v>
      </c>
      <c r="D15" s="2">
        <f t="shared" si="1"/>
        <v>2.5420843902360213E-2</v>
      </c>
      <c r="E15" s="2">
        <f t="shared" si="1"/>
        <v>3.3248584752005872E-3</v>
      </c>
      <c r="F15" s="1">
        <f t="shared" si="2"/>
        <v>3.3248584752005872E-3</v>
      </c>
    </row>
    <row r="16" spans="1:6" x14ac:dyDescent="0.25">
      <c r="A16" s="17">
        <v>14</v>
      </c>
      <c r="B16" s="1">
        <f t="shared" si="3"/>
        <v>0.70000000000000007</v>
      </c>
      <c r="C16" s="1">
        <f t="shared" si="0"/>
        <v>1.3575713609236164</v>
      </c>
      <c r="D16" s="2">
        <f t="shared" si="1"/>
        <v>2.87457023775608E-2</v>
      </c>
      <c r="E16" s="2">
        <f t="shared" si="1"/>
        <v>3.3870924410337455E-3</v>
      </c>
      <c r="F16" s="1">
        <f t="shared" si="2"/>
        <v>3.3870924410337455E-3</v>
      </c>
    </row>
    <row r="17" spans="1:6" x14ac:dyDescent="0.25">
      <c r="A17" s="17">
        <v>15</v>
      </c>
      <c r="B17" s="1">
        <f t="shared" si="3"/>
        <v>0.75000000000000011</v>
      </c>
      <c r="C17" s="1">
        <f t="shared" si="0"/>
        <v>1.3863170633011772</v>
      </c>
      <c r="D17" s="2">
        <f t="shared" si="1"/>
        <v>3.2132794818594546E-2</v>
      </c>
      <c r="E17" s="2">
        <f t="shared" si="1"/>
        <v>3.4204419689314314E-3</v>
      </c>
      <c r="F17" s="1">
        <f t="shared" si="2"/>
        <v>3.4204419689314314E-3</v>
      </c>
    </row>
    <row r="18" spans="1:6" x14ac:dyDescent="0.25">
      <c r="A18" s="17">
        <v>16</v>
      </c>
      <c r="B18" s="1">
        <f t="shared" si="3"/>
        <v>0.80000000000000016</v>
      </c>
      <c r="C18" s="1">
        <f t="shared" si="0"/>
        <v>1.4184498581197718</v>
      </c>
      <c r="D18" s="2">
        <f t="shared" si="1"/>
        <v>3.5553236787525977E-2</v>
      </c>
      <c r="E18" s="2">
        <f t="shared" si="1"/>
        <v>3.4272583020658054E-3</v>
      </c>
      <c r="F18" s="1">
        <f t="shared" si="2"/>
        <v>3.4272583020658054E-3</v>
      </c>
    </row>
    <row r="19" spans="1:6" x14ac:dyDescent="0.25">
      <c r="A19" s="17">
        <v>17</v>
      </c>
      <c r="B19" s="1">
        <f t="shared" si="3"/>
        <v>0.8500000000000002</v>
      </c>
      <c r="C19" s="1">
        <f t="shared" si="0"/>
        <v>1.4540030949072977</v>
      </c>
      <c r="D19" s="2">
        <f t="shared" si="1"/>
        <v>3.8980495089591782E-2</v>
      </c>
      <c r="E19" s="2">
        <f t="shared" si="1"/>
        <v>3.4104620517734219E-3</v>
      </c>
      <c r="F19" s="1">
        <f t="shared" si="2"/>
        <v>3.4104620517734219E-3</v>
      </c>
    </row>
    <row r="20" spans="1:6" x14ac:dyDescent="0.25">
      <c r="A20" s="17">
        <v>18</v>
      </c>
      <c r="B20" s="1">
        <f t="shared" si="3"/>
        <v>0.90000000000000024</v>
      </c>
      <c r="C20" s="1">
        <f t="shared" si="0"/>
        <v>1.4929835899968895</v>
      </c>
      <c r="D20" s="2">
        <f t="shared" si="1"/>
        <v>4.2390957141365204E-2</v>
      </c>
      <c r="E20" s="2">
        <f t="shared" si="1"/>
        <v>3.3733258045700598E-3</v>
      </c>
      <c r="F20" s="1">
        <f t="shared" si="2"/>
        <v>3.3733258045700598E-3</v>
      </c>
    </row>
    <row r="21" spans="1:6" x14ac:dyDescent="0.25">
      <c r="A21" s="17">
        <v>19</v>
      </c>
      <c r="B21" s="1">
        <f t="shared" si="3"/>
        <v>0.95000000000000029</v>
      </c>
      <c r="C21" s="1">
        <f t="shared" si="0"/>
        <v>1.5353745471382547</v>
      </c>
      <c r="D21" s="2">
        <f t="shared" si="1"/>
        <v>4.5764282945935264E-2</v>
      </c>
      <c r="E21" s="1"/>
      <c r="F21" s="1"/>
    </row>
    <row r="22" spans="1:6" ht="15.75" thickBot="1" x14ac:dyDescent="0.3">
      <c r="A22" s="17">
        <v>20</v>
      </c>
      <c r="B22" s="1">
        <f t="shared" si="3"/>
        <v>1.0000000000000002</v>
      </c>
      <c r="C22" s="1">
        <f t="shared" si="0"/>
        <v>1.58113883008419</v>
      </c>
      <c r="D22" s="1"/>
      <c r="E22" s="1"/>
      <c r="F22" s="1"/>
    </row>
    <row r="23" spans="1:6" ht="16.5" thickTop="1" thickBot="1" x14ac:dyDescent="0.3">
      <c r="A23" s="5" t="s">
        <v>6</v>
      </c>
      <c r="B23" s="19">
        <f>(1-0)/20</f>
        <v>0.05</v>
      </c>
      <c r="E23" s="8" t="s">
        <v>9</v>
      </c>
      <c r="F23" s="9">
        <f>MAX(F2:F20)</f>
        <v>3.4272583020658054E-3</v>
      </c>
    </row>
    <row r="24" spans="1:6" ht="15.75" thickTop="1" x14ac:dyDescent="0.25">
      <c r="C24" s="10" t="s">
        <v>7</v>
      </c>
      <c r="D24" s="11"/>
      <c r="E24" s="6">
        <f>B23*(C2/2+(SUM(C3:C21)+C22/2))</f>
        <v>1.3190208100716734</v>
      </c>
    </row>
    <row r="25" spans="1:6" ht="15.75" thickBot="1" x14ac:dyDescent="0.3">
      <c r="C25" s="12" t="s">
        <v>8</v>
      </c>
      <c r="D25" s="13"/>
      <c r="E25" s="7">
        <f>(B22-B2)*F23/22</f>
        <v>1.5578446827571848E-4</v>
      </c>
    </row>
    <row r="26" spans="1:6" ht="15.75" thickTop="1" x14ac:dyDescent="0.25"/>
    <row r="29" spans="1:6" x14ac:dyDescent="0.25">
      <c r="A29" s="18"/>
      <c r="B29" s="14"/>
      <c r="C29" s="14"/>
      <c r="D29" s="14"/>
      <c r="E29" s="14"/>
      <c r="F29" s="14"/>
    </row>
    <row r="30" spans="1:6" x14ac:dyDescent="0.25">
      <c r="A30" s="14"/>
      <c r="B30" s="15"/>
      <c r="C30" s="15"/>
      <c r="D30" s="14"/>
      <c r="E30" s="14"/>
      <c r="F30" s="14"/>
    </row>
    <row r="31" spans="1:6" x14ac:dyDescent="0.25">
      <c r="A31" s="14"/>
      <c r="B31" s="15"/>
      <c r="C31" s="15"/>
      <c r="D31" s="14"/>
      <c r="E31" s="14"/>
      <c r="F31" s="14"/>
    </row>
    <row r="32" spans="1:6" x14ac:dyDescent="0.25">
      <c r="A32" s="14"/>
      <c r="B32" s="14"/>
      <c r="C32" s="14"/>
      <c r="D32" s="14"/>
      <c r="E32" s="14"/>
      <c r="F32" s="14"/>
    </row>
    <row r="33" spans="1:6" x14ac:dyDescent="0.25">
      <c r="A33" s="14"/>
      <c r="B33" s="14"/>
      <c r="C33" s="14"/>
      <c r="D33" s="14"/>
      <c r="E33" s="14"/>
      <c r="F33" s="14"/>
    </row>
  </sheetData>
  <mergeCells count="4">
    <mergeCell ref="B30:C30"/>
    <mergeCell ref="B31:C31"/>
    <mergeCell ref="C24:D24"/>
    <mergeCell ref="C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Самат</dc:creator>
  <cp:lastModifiedBy>311</cp:lastModifiedBy>
  <dcterms:created xsi:type="dcterms:W3CDTF">2015-06-05T18:19:34Z</dcterms:created>
  <dcterms:modified xsi:type="dcterms:W3CDTF">2025-11-05T08:43:58Z</dcterms:modified>
</cp:coreProperties>
</file>