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vezd\OneDrive\Desktop\"/>
    </mc:Choice>
  </mc:AlternateContent>
  <xr:revisionPtr revIDLastSave="0" documentId="13_ncr:1_{33CF40D8-0E96-4B6C-9A30-D593B7EA410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Решение типового задания" sheetId="1" r:id="rId1"/>
    <sheet name="Лист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2" l="1"/>
  <c r="F15" i="2"/>
  <c r="D16" i="2"/>
  <c r="D15" i="2"/>
  <c r="F14" i="2"/>
  <c r="D14" i="2"/>
  <c r="G12" i="2"/>
  <c r="G3" i="2"/>
  <c r="G4" i="2"/>
  <c r="G5" i="2"/>
  <c r="G6" i="2"/>
  <c r="G7" i="2"/>
  <c r="G8" i="2"/>
  <c r="G9" i="2"/>
  <c r="G2" i="2"/>
  <c r="F3" i="2"/>
  <c r="F4" i="2"/>
  <c r="F5" i="2"/>
  <c r="F6" i="2"/>
  <c r="F7" i="2"/>
  <c r="F8" i="2"/>
  <c r="F9" i="2"/>
  <c r="F2" i="2"/>
  <c r="E3" i="2"/>
  <c r="E4" i="2"/>
  <c r="E5" i="2"/>
  <c r="E6" i="2"/>
  <c r="E7" i="2"/>
  <c r="E8" i="2"/>
  <c r="E9" i="2"/>
  <c r="E10" i="2"/>
  <c r="E2" i="2"/>
  <c r="D3" i="2"/>
  <c r="D4" i="2"/>
  <c r="D5" i="2"/>
  <c r="D6" i="2"/>
  <c r="D7" i="2"/>
  <c r="D8" i="2"/>
  <c r="D9" i="2"/>
  <c r="D10" i="2"/>
  <c r="D11" i="2"/>
  <c r="D2" i="2"/>
  <c r="B13" i="2"/>
  <c r="B6" i="2"/>
  <c r="B7" i="2"/>
  <c r="B8" i="2"/>
  <c r="B9" i="2"/>
  <c r="B10" i="2"/>
  <c r="B11" i="2"/>
  <c r="B12" i="2"/>
  <c r="B5" i="2"/>
  <c r="A4" i="2"/>
  <c r="A5" i="2"/>
  <c r="A6" i="2"/>
  <c r="A7" i="2"/>
  <c r="A8" i="2"/>
  <c r="A9" i="2"/>
  <c r="A10" i="2"/>
  <c r="A11" i="2"/>
  <c r="A12" i="2"/>
  <c r="A3" i="2"/>
  <c r="F16" i="1"/>
  <c r="F15" i="1"/>
  <c r="D16" i="1"/>
  <c r="D15" i="1"/>
  <c r="F14" i="1"/>
  <c r="D14" i="1"/>
  <c r="G1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  <c r="E7" i="1"/>
  <c r="E3" i="1"/>
  <c r="E4" i="1"/>
  <c r="E5" i="1"/>
  <c r="E6" i="1"/>
  <c r="E8" i="1"/>
  <c r="E9" i="1"/>
  <c r="E2" i="1"/>
  <c r="D3" i="1"/>
  <c r="D4" i="1"/>
  <c r="D5" i="1"/>
  <c r="D6" i="1"/>
  <c r="D7" i="1"/>
  <c r="D8" i="1"/>
  <c r="D9" i="1"/>
  <c r="D10" i="1"/>
  <c r="D2" i="1"/>
  <c r="B4" i="1"/>
  <c r="B5" i="1"/>
  <c r="B6" i="1"/>
  <c r="B7" i="1"/>
  <c r="B8" i="1"/>
  <c r="B9" i="1"/>
  <c r="B10" i="1"/>
  <c r="B11" i="1"/>
  <c r="B3" i="1"/>
  <c r="A4" i="1"/>
  <c r="A5" i="1" s="1"/>
  <c r="A6" i="1" s="1"/>
  <c r="A7" i="1" s="1"/>
  <c r="A8" i="1" s="1"/>
  <c r="A9" i="1" s="1"/>
  <c r="A10" i="1" s="1"/>
  <c r="A11" i="1" s="1"/>
  <c r="A3" i="1"/>
</calcChain>
</file>

<file path=xl/sharedStrings.xml><?xml version="1.0" encoding="utf-8"?>
<sst xmlns="http://schemas.openxmlformats.org/spreadsheetml/2006/main" count="34" uniqueCount="22">
  <si>
    <t>k</t>
  </si>
  <si>
    <t>x_k</t>
  </si>
  <si>
    <t>y_k</t>
  </si>
  <si>
    <t>∆y_k</t>
  </si>
  <si>
    <t>∆^2 y_k</t>
  </si>
  <si>
    <t>∆^3 y_k</t>
  </si>
  <si>
    <t>|∆^2 y_k|</t>
  </si>
  <si>
    <t>h=</t>
  </si>
  <si>
    <t>max|∆^2 y_k|</t>
  </si>
  <si>
    <t>P"(x_1) =</t>
  </si>
  <si>
    <t>P'(x_1) =</t>
  </si>
  <si>
    <t>q_1 =</t>
  </si>
  <si>
    <t>x_1 =</t>
  </si>
  <si>
    <t>q_2 =</t>
  </si>
  <si>
    <t>x_2 =</t>
  </si>
  <si>
    <t xml:space="preserve">R' = </t>
  </si>
  <si>
    <t xml:space="preserve">R" = </t>
  </si>
  <si>
    <t>h =</t>
  </si>
  <si>
    <t>P"(x_2) =</t>
  </si>
  <si>
    <t>R' =</t>
  </si>
  <si>
    <t>R" =</t>
  </si>
  <si>
    <t>max|∆^2 y_k|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</si>
</sst>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0E+00"/>
    <numFmt numFmtId="170" formatCode="0.0000000E+00"/>
    <numFmt numFmtId="171" formatCode="0.00000000E+0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  <charset val="204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9" fontId="1" fillId="0" borderId="0" xfId="0" applyNumberFormat="1" applyFont="1"/>
    <xf numFmtId="171" fontId="1" fillId="0" borderId="0" xfId="0" applyNumberFormat="1" applyFont="1"/>
    <xf numFmtId="170" fontId="1" fillId="0" borderId="0" xfId="0" applyNumberFormat="1" applyFont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/>
    </xf>
    <xf numFmtId="0" fontId="4" fillId="0" borderId="1" xfId="0" applyFont="1" applyBorder="1"/>
    <xf numFmtId="0" fontId="3" fillId="0" borderId="1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533400</xdr:colOff>
      <xdr:row>16</xdr:row>
      <xdr:rowOff>9525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5A2E44-0D37-4843-A12F-9C2EAA236B9E}"/>
            </a:ext>
          </a:extLst>
        </xdr:cNvPr>
        <xdr:cNvSpPr txBox="1"/>
      </xdr:nvSpPr>
      <xdr:spPr>
        <a:xfrm>
          <a:off x="8458200" y="305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selection activeCell="D34" sqref="D34"/>
    </sheetView>
  </sheetViews>
  <sheetFormatPr defaultRowHeight="15" x14ac:dyDescent="0.25"/>
  <cols>
    <col min="2" max="2" width="13.140625" customWidth="1"/>
    <col min="3" max="3" width="14.5703125" customWidth="1"/>
    <col min="4" max="4" width="35.7109375" customWidth="1"/>
    <col min="5" max="5" width="12.85546875" customWidth="1"/>
    <col min="6" max="6" width="12.7109375" customWidth="1"/>
    <col min="7" max="7" width="16.85546875" customWidth="1"/>
  </cols>
  <sheetData>
    <row r="1" spans="1:7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x14ac:dyDescent="0.25">
      <c r="A2" s="1">
        <v>0</v>
      </c>
      <c r="B2" s="1">
        <v>1.2150000000000001</v>
      </c>
      <c r="C2" s="1">
        <v>0.106044</v>
      </c>
      <c r="D2" s="1">
        <f>C3-C2</f>
        <v>4.4700000000000295E-4</v>
      </c>
      <c r="E2" s="2">
        <f>D3-D2</f>
        <v>-3.0000000000030003E-6</v>
      </c>
      <c r="F2" s="2">
        <f>E3-E2</f>
        <v>1.0000000000010001E-6</v>
      </c>
      <c r="G2" s="1">
        <f>ABS(F2)</f>
        <v>1.0000000000010001E-6</v>
      </c>
    </row>
    <row r="3" spans="1:7" ht="18" x14ac:dyDescent="0.25">
      <c r="A3" s="1">
        <f>A2+1</f>
        <v>1</v>
      </c>
      <c r="B3" s="1">
        <f>B2+0.005</f>
        <v>1.22</v>
      </c>
      <c r="C3" s="1">
        <v>0.106491</v>
      </c>
      <c r="D3" s="1">
        <f t="shared" ref="D3:F11" si="0">C4-C3</f>
        <v>4.4399999999999995E-4</v>
      </c>
      <c r="E3" s="1">
        <f t="shared" si="0"/>
        <v>-2.0000000000020002E-6</v>
      </c>
      <c r="F3" s="2">
        <f t="shared" si="0"/>
        <v>1.0000000000010001E-6</v>
      </c>
      <c r="G3" s="1">
        <f t="shared" ref="G3:G8" si="1">ABS(F3)</f>
        <v>1.0000000000010001E-6</v>
      </c>
    </row>
    <row r="4" spans="1:7" ht="18" x14ac:dyDescent="0.25">
      <c r="A4" s="1">
        <f t="shared" ref="A4:A11" si="2">A3+1</f>
        <v>2</v>
      </c>
      <c r="B4" s="1">
        <f t="shared" ref="B4:B11" si="3">B3+0.005</f>
        <v>1.2249999999999999</v>
      </c>
      <c r="C4" s="1">
        <v>0.106935</v>
      </c>
      <c r="D4" s="1">
        <f t="shared" si="0"/>
        <v>4.4199999999999795E-4</v>
      </c>
      <c r="E4" s="1">
        <f t="shared" si="0"/>
        <v>-1.0000000000010001E-6</v>
      </c>
      <c r="F4" s="2">
        <f t="shared" si="0"/>
        <v>-9.999999999871223E-7</v>
      </c>
      <c r="G4" s="1">
        <f t="shared" si="1"/>
        <v>9.999999999871223E-7</v>
      </c>
    </row>
    <row r="5" spans="1:7" ht="18" x14ac:dyDescent="0.25">
      <c r="A5" s="1">
        <f t="shared" si="2"/>
        <v>3</v>
      </c>
      <c r="B5" s="1">
        <f t="shared" si="3"/>
        <v>1.2299999999999998</v>
      </c>
      <c r="C5" s="1">
        <v>0.107377</v>
      </c>
      <c r="D5" s="1">
        <f t="shared" si="0"/>
        <v>4.4099999999999695E-4</v>
      </c>
      <c r="E5" s="1">
        <f t="shared" si="0"/>
        <v>-1.9999999999881224E-6</v>
      </c>
      <c r="F5" s="2">
        <f t="shared" si="0"/>
        <v>1.9999999999742446E-6</v>
      </c>
      <c r="G5" s="1">
        <f t="shared" si="1"/>
        <v>1.9999999999742446E-6</v>
      </c>
    </row>
    <row r="6" spans="1:7" ht="18" x14ac:dyDescent="0.25">
      <c r="A6" s="1">
        <f t="shared" si="2"/>
        <v>4</v>
      </c>
      <c r="B6" s="1">
        <f t="shared" si="3"/>
        <v>1.2349999999999997</v>
      </c>
      <c r="C6" s="1">
        <v>0.107818</v>
      </c>
      <c r="D6" s="1">
        <f t="shared" si="0"/>
        <v>4.3900000000000883E-4</v>
      </c>
      <c r="E6" s="1">
        <f t="shared" si="0"/>
        <v>-1.3877787807814457E-17</v>
      </c>
      <c r="F6" s="2">
        <f t="shared" si="0"/>
        <v>-9.999999999871223E-7</v>
      </c>
      <c r="G6" s="1">
        <f t="shared" si="1"/>
        <v>9.999999999871223E-7</v>
      </c>
    </row>
    <row r="7" spans="1:7" ht="18" x14ac:dyDescent="0.25">
      <c r="A7" s="1">
        <f t="shared" si="2"/>
        <v>5</v>
      </c>
      <c r="B7" s="1">
        <f t="shared" si="3"/>
        <v>1.2399999999999995</v>
      </c>
      <c r="C7" s="1">
        <v>0.10825700000000001</v>
      </c>
      <c r="D7" s="1">
        <f t="shared" si="0"/>
        <v>4.3899999999999495E-4</v>
      </c>
      <c r="E7" s="1">
        <f>D8-D7</f>
        <v>-1.0000000000010001E-6</v>
      </c>
      <c r="F7" s="2">
        <f t="shared" ref="F7:F8" si="4">E8-E7</f>
        <v>1.3877787807814457E-17</v>
      </c>
      <c r="G7" s="1">
        <f t="shared" si="1"/>
        <v>1.3877787807814457E-17</v>
      </c>
    </row>
    <row r="8" spans="1:7" ht="18" x14ac:dyDescent="0.25">
      <c r="A8" s="1">
        <f t="shared" si="2"/>
        <v>6</v>
      </c>
      <c r="B8" s="1">
        <f t="shared" si="3"/>
        <v>1.2449999999999994</v>
      </c>
      <c r="C8" s="1">
        <v>0.108696</v>
      </c>
      <c r="D8" s="1">
        <f t="shared" si="0"/>
        <v>4.3799999999999395E-4</v>
      </c>
      <c r="E8" s="1">
        <f t="shared" si="0"/>
        <v>-9.999999999871223E-7</v>
      </c>
      <c r="F8" s="2">
        <f t="shared" si="4"/>
        <v>9.9999999997324451E-7</v>
      </c>
      <c r="G8" s="1">
        <f t="shared" si="1"/>
        <v>9.9999999997324451E-7</v>
      </c>
    </row>
    <row r="9" spans="1:7" ht="18" x14ac:dyDescent="0.25">
      <c r="A9" s="1">
        <f t="shared" si="2"/>
        <v>7</v>
      </c>
      <c r="B9" s="1">
        <f t="shared" si="3"/>
        <v>1.2499999999999993</v>
      </c>
      <c r="C9" s="1">
        <v>0.10913399999999999</v>
      </c>
      <c r="D9" s="1">
        <f t="shared" si="0"/>
        <v>4.3700000000000683E-4</v>
      </c>
      <c r="E9" s="1">
        <f t="shared" si="0"/>
        <v>-1.3877787807814457E-17</v>
      </c>
      <c r="F9" s="1"/>
      <c r="G9" s="1"/>
    </row>
    <row r="10" spans="1:7" ht="18" x14ac:dyDescent="0.25">
      <c r="A10" s="1">
        <f t="shared" si="2"/>
        <v>8</v>
      </c>
      <c r="B10" s="1">
        <f t="shared" si="3"/>
        <v>1.2549999999999992</v>
      </c>
      <c r="C10" s="1">
        <v>0.109571</v>
      </c>
      <c r="D10" s="1">
        <f t="shared" si="0"/>
        <v>4.3699999999999295E-4</v>
      </c>
      <c r="E10" s="1"/>
      <c r="F10" s="1"/>
      <c r="G10" s="1"/>
    </row>
    <row r="11" spans="1:7" ht="18" x14ac:dyDescent="0.25">
      <c r="A11" s="1">
        <f t="shared" si="2"/>
        <v>9</v>
      </c>
      <c r="B11" s="1">
        <f t="shared" si="3"/>
        <v>1.2599999999999991</v>
      </c>
      <c r="C11" s="1">
        <v>0.11000799999999999</v>
      </c>
      <c r="D11" s="1"/>
      <c r="E11" s="1"/>
      <c r="F11" s="1"/>
      <c r="G11" s="1"/>
    </row>
    <row r="12" spans="1:7" ht="18" x14ac:dyDescent="0.25">
      <c r="A12" s="1" t="s">
        <v>7</v>
      </c>
      <c r="B12" s="1">
        <v>5.0000000000000001E-3</v>
      </c>
      <c r="C12" s="1"/>
      <c r="D12" s="1"/>
      <c r="E12" s="1"/>
      <c r="F12" s="1" t="s">
        <v>8</v>
      </c>
      <c r="G12" s="1">
        <f>MAX(G2:G8)</f>
        <v>1.9999999999742446E-6</v>
      </c>
    </row>
    <row r="13" spans="1:7" ht="18" x14ac:dyDescent="0.25">
      <c r="A13" s="1"/>
      <c r="B13" s="1"/>
      <c r="C13" s="1" t="s">
        <v>12</v>
      </c>
      <c r="D13" s="1">
        <v>1.2173</v>
      </c>
      <c r="E13" s="1" t="s">
        <v>14</v>
      </c>
      <c r="F13" s="1">
        <v>1.27</v>
      </c>
      <c r="G13" s="1"/>
    </row>
    <row r="14" spans="1:7" ht="18" x14ac:dyDescent="0.25">
      <c r="A14" s="1"/>
      <c r="B14" s="1"/>
      <c r="C14" s="1" t="s">
        <v>11</v>
      </c>
      <c r="D14" s="1">
        <f>(D13-B2)/B12</f>
        <v>0.45999999999999375</v>
      </c>
      <c r="E14" s="1" t="s">
        <v>13</v>
      </c>
      <c r="F14" s="1">
        <f>(F13-B11)/B12</f>
        <v>2.0000000000001794</v>
      </c>
      <c r="G14" s="1"/>
    </row>
    <row r="15" spans="1:7" ht="18" x14ac:dyDescent="0.25">
      <c r="A15" s="1"/>
      <c r="B15" s="1"/>
      <c r="C15" s="1" t="s">
        <v>10</v>
      </c>
      <c r="D15" s="3">
        <f>C2+D14*D2+D14*(D14-1)*E2/2</f>
        <v>0.10624999260000001</v>
      </c>
      <c r="E15" s="1" t="s">
        <v>9</v>
      </c>
      <c r="F15" s="1">
        <f>C11+F14*D10+F14*(F14+1)*E9/2</f>
        <v>0.11088200000000002</v>
      </c>
      <c r="G15" s="1"/>
    </row>
    <row r="16" spans="1:7" ht="18" x14ac:dyDescent="0.25">
      <c r="A16" s="1"/>
      <c r="B16" s="1"/>
      <c r="C16" s="1" t="s">
        <v>15</v>
      </c>
      <c r="D16" s="4">
        <f>D14*(D14-1)*(D14-2)*G12/6</f>
        <v>1.2751199999835822E-7</v>
      </c>
      <c r="E16" s="1" t="s">
        <v>16</v>
      </c>
      <c r="F16" s="1">
        <f>F14*(F14+1)*(F14+2)*G12/6</f>
        <v>7.9999999998985336E-6</v>
      </c>
      <c r="G16" s="1"/>
    </row>
    <row r="17" spans="1:7" ht="18" x14ac:dyDescent="0.25">
      <c r="A17" s="1"/>
      <c r="B17" s="1"/>
      <c r="C17" s="1"/>
      <c r="D17" s="1"/>
      <c r="E17" s="1"/>
      <c r="F17" s="1"/>
      <c r="G17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EA23-81F2-4F21-B08A-A2C9CD1EAD63}">
  <dimension ref="A1:G16"/>
  <sheetViews>
    <sheetView tabSelected="1" workbookViewId="0">
      <selection activeCell="F17" sqref="F17"/>
    </sheetView>
  </sheetViews>
  <sheetFormatPr defaultRowHeight="15" x14ac:dyDescent="0.25"/>
  <cols>
    <col min="2" max="2" width="11.7109375" customWidth="1"/>
    <col min="3" max="3" width="13.5703125" customWidth="1"/>
    <col min="4" max="4" width="11.5703125" customWidth="1"/>
    <col min="5" max="5" width="12.140625" customWidth="1"/>
    <col min="6" max="6" width="18.85546875" customWidth="1"/>
    <col min="7" max="7" width="12.140625" customWidth="1"/>
  </cols>
  <sheetData>
    <row r="1" spans="1:7" ht="18.7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8.75" x14ac:dyDescent="0.3">
      <c r="A2" s="6">
        <v>0</v>
      </c>
      <c r="B2" s="6">
        <v>0.45</v>
      </c>
      <c r="C2" s="6">
        <v>20.194600000000001</v>
      </c>
      <c r="D2" s="6">
        <f>C3-C2</f>
        <v>-0.58130000000000237</v>
      </c>
      <c r="E2" s="6">
        <f>D3-D2</f>
        <v>-8.949999999999747E-2</v>
      </c>
      <c r="F2" s="6">
        <f>E3-E2</f>
        <v>-7.6000000000000512E-3</v>
      </c>
      <c r="G2" s="6">
        <f>ABS(F2)</f>
        <v>7.6000000000000512E-3</v>
      </c>
    </row>
    <row r="3" spans="1:7" ht="18.75" x14ac:dyDescent="0.3">
      <c r="A3" s="6">
        <f>A2+1</f>
        <v>1</v>
      </c>
      <c r="B3" s="6">
        <v>0.46</v>
      </c>
      <c r="C3" s="6">
        <v>19.613299999999999</v>
      </c>
      <c r="D3" s="6">
        <f t="shared" ref="D3:F12" si="0">C4-C3</f>
        <v>-0.67079999999999984</v>
      </c>
      <c r="E3" s="6">
        <f t="shared" si="0"/>
        <v>-9.7099999999997522E-2</v>
      </c>
      <c r="F3" s="6">
        <f t="shared" si="0"/>
        <v>-8.6000000000083787E-3</v>
      </c>
      <c r="G3" s="6">
        <f t="shared" ref="G3:G9" si="1">ABS(F3)</f>
        <v>8.6000000000083787E-3</v>
      </c>
    </row>
    <row r="4" spans="1:7" ht="18.75" x14ac:dyDescent="0.3">
      <c r="A4" s="6">
        <f t="shared" ref="A4:A14" si="2">A3+1</f>
        <v>2</v>
      </c>
      <c r="B4" s="6">
        <v>0.47</v>
      </c>
      <c r="C4" s="6">
        <v>18.942499999999999</v>
      </c>
      <c r="D4" s="6">
        <f t="shared" si="0"/>
        <v>-0.76789999999999736</v>
      </c>
      <c r="E4" s="6">
        <f t="shared" si="0"/>
        <v>-0.1057000000000059</v>
      </c>
      <c r="F4" s="6">
        <f t="shared" si="0"/>
        <v>-9.3999999999887507E-3</v>
      </c>
      <c r="G4" s="6">
        <f t="shared" si="1"/>
        <v>9.3999999999887507E-3</v>
      </c>
    </row>
    <row r="5" spans="1:7" ht="18.75" x14ac:dyDescent="0.3">
      <c r="A5" s="6">
        <f t="shared" si="2"/>
        <v>3</v>
      </c>
      <c r="B5" s="6">
        <f>B4+0.01</f>
        <v>0.48</v>
      </c>
      <c r="C5" s="6">
        <v>18.174600000000002</v>
      </c>
      <c r="D5" s="6">
        <f t="shared" si="0"/>
        <v>-0.87360000000000326</v>
      </c>
      <c r="E5" s="6">
        <f t="shared" si="0"/>
        <v>-0.11509999999999465</v>
      </c>
      <c r="F5" s="6">
        <f t="shared" si="0"/>
        <v>-1.0100000000008436E-2</v>
      </c>
      <c r="G5" s="6">
        <f t="shared" si="1"/>
        <v>1.0100000000008436E-2</v>
      </c>
    </row>
    <row r="6" spans="1:7" ht="18.75" x14ac:dyDescent="0.3">
      <c r="A6" s="6">
        <f t="shared" si="2"/>
        <v>4</v>
      </c>
      <c r="B6" s="6">
        <f t="shared" ref="B6:B12" si="3">B5+0.01</f>
        <v>0.49</v>
      </c>
      <c r="C6" s="6">
        <v>17.300999999999998</v>
      </c>
      <c r="D6" s="6">
        <f t="shared" si="0"/>
        <v>-0.98869999999999791</v>
      </c>
      <c r="E6" s="6">
        <f t="shared" si="0"/>
        <v>-0.12520000000000309</v>
      </c>
      <c r="F6" s="6">
        <f t="shared" si="0"/>
        <v>-1.0899999999995913E-2</v>
      </c>
      <c r="G6" s="6">
        <f t="shared" si="1"/>
        <v>1.0899999999995913E-2</v>
      </c>
    </row>
    <row r="7" spans="1:7" ht="18.75" x14ac:dyDescent="0.3">
      <c r="A7" s="6">
        <f t="shared" si="2"/>
        <v>5</v>
      </c>
      <c r="B7" s="6">
        <f t="shared" si="3"/>
        <v>0.5</v>
      </c>
      <c r="C7" s="6">
        <v>16.3123</v>
      </c>
      <c r="D7" s="6">
        <f t="shared" si="0"/>
        <v>-1.113900000000001</v>
      </c>
      <c r="E7" s="6">
        <f t="shared" si="0"/>
        <v>-0.136099999999999</v>
      </c>
      <c r="F7" s="6">
        <f t="shared" si="0"/>
        <v>-1.1900000000000688E-2</v>
      </c>
      <c r="G7" s="6">
        <f t="shared" si="1"/>
        <v>1.1900000000000688E-2</v>
      </c>
    </row>
    <row r="8" spans="1:7" ht="18.75" x14ac:dyDescent="0.3">
      <c r="A8" s="6">
        <f t="shared" si="2"/>
        <v>6</v>
      </c>
      <c r="B8" s="6">
        <f t="shared" si="3"/>
        <v>0.51</v>
      </c>
      <c r="C8" s="6">
        <v>15.198399999999999</v>
      </c>
      <c r="D8" s="6">
        <f t="shared" si="0"/>
        <v>-1.25</v>
      </c>
      <c r="E8" s="6">
        <f t="shared" si="0"/>
        <v>-0.14799999999999969</v>
      </c>
      <c r="F8" s="6">
        <f t="shared" si="0"/>
        <v>-1.0699999999999932E-2</v>
      </c>
      <c r="G8" s="6">
        <f t="shared" si="1"/>
        <v>1.0699999999999932E-2</v>
      </c>
    </row>
    <row r="9" spans="1:7" ht="18.75" x14ac:dyDescent="0.3">
      <c r="A9" s="6">
        <f t="shared" si="2"/>
        <v>7</v>
      </c>
      <c r="B9" s="6">
        <f t="shared" si="3"/>
        <v>0.52</v>
      </c>
      <c r="C9" s="6">
        <v>13.948399999999999</v>
      </c>
      <c r="D9" s="6">
        <f t="shared" si="0"/>
        <v>-1.3979999999999997</v>
      </c>
      <c r="E9" s="6">
        <f t="shared" si="0"/>
        <v>-0.15869999999999962</v>
      </c>
      <c r="F9" s="6">
        <f t="shared" si="0"/>
        <v>-1.3600000000002055E-2</v>
      </c>
      <c r="G9" s="6">
        <f t="shared" si="1"/>
        <v>1.3600000000002055E-2</v>
      </c>
    </row>
    <row r="10" spans="1:7" ht="18.75" x14ac:dyDescent="0.3">
      <c r="A10" s="6">
        <f t="shared" si="2"/>
        <v>8</v>
      </c>
      <c r="B10" s="6">
        <f t="shared" si="3"/>
        <v>0.53</v>
      </c>
      <c r="C10" s="6">
        <v>12.5504</v>
      </c>
      <c r="D10" s="6">
        <f t="shared" si="0"/>
        <v>-1.5566999999999993</v>
      </c>
      <c r="E10" s="6">
        <f t="shared" si="0"/>
        <v>-0.17230000000000167</v>
      </c>
      <c r="F10" s="6"/>
      <c r="G10" s="6"/>
    </row>
    <row r="11" spans="1:7" ht="18.75" x14ac:dyDescent="0.3">
      <c r="A11" s="6">
        <f t="shared" si="2"/>
        <v>9</v>
      </c>
      <c r="B11" s="6">
        <f t="shared" si="3"/>
        <v>0.54</v>
      </c>
      <c r="C11" s="6">
        <v>10.9937</v>
      </c>
      <c r="D11" s="6">
        <f t="shared" si="0"/>
        <v>-1.729000000000001</v>
      </c>
      <c r="E11" s="6"/>
      <c r="F11" s="6"/>
      <c r="G11" s="6"/>
    </row>
    <row r="12" spans="1:7" ht="18.75" x14ac:dyDescent="0.3">
      <c r="A12" s="6">
        <f t="shared" si="2"/>
        <v>10</v>
      </c>
      <c r="B12" s="6">
        <f t="shared" si="3"/>
        <v>0.55000000000000004</v>
      </c>
      <c r="C12" s="6">
        <v>9.2646999999999995</v>
      </c>
      <c r="D12" s="6"/>
      <c r="E12" s="6"/>
      <c r="F12" s="9" t="s">
        <v>21</v>
      </c>
      <c r="G12" s="10">
        <f>MAX(G2:G9)</f>
        <v>1.3600000000002055E-2</v>
      </c>
    </row>
    <row r="13" spans="1:7" ht="18.75" x14ac:dyDescent="0.3">
      <c r="A13" s="7" t="s">
        <v>17</v>
      </c>
      <c r="B13" s="10">
        <f>B3-B2</f>
        <v>1.0000000000000009E-2</v>
      </c>
      <c r="C13" s="8" t="s">
        <v>12</v>
      </c>
      <c r="D13" s="10">
        <v>0.46600000000000003</v>
      </c>
      <c r="E13" s="8" t="s">
        <v>14</v>
      </c>
      <c r="F13" s="10">
        <v>0.52800000000000002</v>
      </c>
      <c r="G13" s="6"/>
    </row>
    <row r="14" spans="1:7" ht="18.75" x14ac:dyDescent="0.3">
      <c r="A14" s="6"/>
      <c r="B14" s="6"/>
      <c r="C14" s="8" t="s">
        <v>11</v>
      </c>
      <c r="D14" s="10">
        <f>(D13-B2)/B13</f>
        <v>1.6</v>
      </c>
      <c r="E14" s="8" t="s">
        <v>13</v>
      </c>
      <c r="F14" s="10">
        <f>(F13-B12)/B13</f>
        <v>-2.2000000000000002</v>
      </c>
      <c r="G14" s="6"/>
    </row>
    <row r="15" spans="1:7" ht="18.75" x14ac:dyDescent="0.3">
      <c r="A15" s="6"/>
      <c r="B15" s="6"/>
      <c r="C15" s="8" t="s">
        <v>10</v>
      </c>
      <c r="D15" s="10">
        <f>C2+D14*D2+D14*(D14-1)*E2/2</f>
        <v>19.22156</v>
      </c>
      <c r="E15" s="8" t="s">
        <v>18</v>
      </c>
      <c r="F15" s="10">
        <f>C12+F14*D11+F14*(F14+1)*E10/2</f>
        <v>12.841063999999999</v>
      </c>
      <c r="G15" s="6"/>
    </row>
    <row r="16" spans="1:7" ht="18.75" x14ac:dyDescent="0.3">
      <c r="A16" s="6"/>
      <c r="B16" s="6"/>
      <c r="C16" s="8" t="s">
        <v>19</v>
      </c>
      <c r="D16" s="10">
        <f>D14*(D14-1)*(D14-2)*G12/6</f>
        <v>-8.7040000000013164E-4</v>
      </c>
      <c r="E16" s="8" t="s">
        <v>20</v>
      </c>
      <c r="F16" s="10">
        <f>F14*(F14+1)*(F14+2)*G12/6</f>
        <v>-1.1968000000001822E-3</v>
      </c>
      <c r="G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Решение типового задания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Zvezdin</dc:creator>
  <cp:lastModifiedBy>Nikita Zvezdin</cp:lastModifiedBy>
  <dcterms:created xsi:type="dcterms:W3CDTF">2015-06-05T18:19:34Z</dcterms:created>
  <dcterms:modified xsi:type="dcterms:W3CDTF">2025-10-13T05:26:03Z</dcterms:modified>
</cp:coreProperties>
</file>