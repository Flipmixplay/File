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xr:revisionPtr revIDLastSave="0" documentId="8_{D654FE32-9817-41DA-BD12-0DB0EA759B8C}" xr6:coauthVersionLast="45" xr6:coauthVersionMax="45" xr10:uidLastSave="{00000000-0000-0000-0000-000000000000}"/>
  <bookViews>
    <workbookView minimized="1" xWindow="4545" yWindow="1875" windowWidth="21630" windowHeight="14790" activeTab="2" xr2:uid="{3425C447-DB79-4270-A6D1-93ABEBA382FC}"/>
  </bookViews>
  <sheets>
    <sheet name="Лист1" sheetId="1" r:id="rId1"/>
    <sheet name="Лист1 (2)" sheetId="4" r:id="rId2"/>
    <sheet name="Лист1 (3)" sheetId="7" r:id="rId3"/>
  </sheet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7" l="1"/>
  <c r="F6" i="7"/>
  <c r="E6" i="7"/>
  <c r="D6" i="7"/>
  <c r="H6" i="7" s="1"/>
  <c r="I6" i="7" s="1"/>
  <c r="G5" i="7"/>
  <c r="F5" i="7"/>
  <c r="E5" i="7"/>
  <c r="D5" i="7"/>
  <c r="H5" i="7" s="1"/>
  <c r="I5" i="7" s="1"/>
  <c r="G4" i="7"/>
  <c r="F4" i="7"/>
  <c r="E4" i="7"/>
  <c r="D4" i="7"/>
  <c r="H4" i="7" s="1"/>
  <c r="I4" i="7" s="1"/>
  <c r="G3" i="7"/>
  <c r="F3" i="7"/>
  <c r="E3" i="7"/>
  <c r="D3" i="7"/>
  <c r="E9" i="7" s="1"/>
  <c r="E10" i="1"/>
  <c r="E9" i="1"/>
  <c r="G6" i="4"/>
  <c r="F6" i="4"/>
  <c r="E6" i="4"/>
  <c r="D6" i="4"/>
  <c r="G5" i="4"/>
  <c r="F5" i="4"/>
  <c r="E5" i="4"/>
  <c r="D5" i="4"/>
  <c r="H5" i="4" s="1"/>
  <c r="I5" i="4" s="1"/>
  <c r="G4" i="4"/>
  <c r="F4" i="4"/>
  <c r="E4" i="4"/>
  <c r="D4" i="4"/>
  <c r="G3" i="4"/>
  <c r="F3" i="4"/>
  <c r="E3" i="4"/>
  <c r="D3" i="4"/>
  <c r="H3" i="1"/>
  <c r="I3" i="1"/>
  <c r="E8" i="1"/>
  <c r="G3" i="1"/>
  <c r="I4" i="1"/>
  <c r="I5" i="1"/>
  <c r="I6" i="1"/>
  <c r="H4" i="1"/>
  <c r="H5" i="1"/>
  <c r="H6" i="1"/>
  <c r="G6" i="1"/>
  <c r="G5" i="1"/>
  <c r="G4" i="1"/>
  <c r="F6" i="1"/>
  <c r="F5" i="1"/>
  <c r="F4" i="1"/>
  <c r="F3" i="1"/>
  <c r="E6" i="1"/>
  <c r="E5" i="1"/>
  <c r="E4" i="1"/>
  <c r="E3" i="1"/>
  <c r="D6" i="1"/>
  <c r="D5" i="1"/>
  <c r="D4" i="1"/>
  <c r="D3" i="1"/>
  <c r="H3" i="7" l="1"/>
  <c r="I3" i="7" s="1"/>
  <c r="E8" i="7" s="1"/>
  <c r="E10" i="7" s="1"/>
  <c r="H3" i="4"/>
  <c r="I3" i="4" s="1"/>
  <c r="H6" i="4"/>
  <c r="I6" i="4" s="1"/>
  <c r="H4" i="4"/>
  <c r="I4" i="4" s="1"/>
  <c r="E9" i="4"/>
  <c r="E8" i="4" l="1"/>
  <c r="E10" i="4" s="1"/>
</calcChain>
</file>

<file path=xl/sharedStrings.xml><?xml version="1.0" encoding="utf-8"?>
<sst xmlns="http://schemas.openxmlformats.org/spreadsheetml/2006/main" count="36" uniqueCount="12">
  <si>
    <t>к</t>
  </si>
  <si>
    <t>x</t>
  </si>
  <si>
    <t>y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</si>
  <si>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-x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( i </t>
    </r>
    <r>
      <rPr>
        <sz val="11"/>
        <color theme="1"/>
        <rFont val="Calibri"/>
        <family val="2"/>
        <charset val="204"/>
      </rPr>
      <t>≠ k )</t>
    </r>
  </si>
  <si>
    <r>
      <t>D</t>
    </r>
    <r>
      <rPr>
        <vertAlign val="subscript"/>
        <sz val="11"/>
        <color theme="1"/>
        <rFont val="Calibri"/>
        <family val="2"/>
        <charset val="204"/>
        <scheme val="minor"/>
      </rPr>
      <t>k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</si>
  <si>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k</t>
    </r>
    <r>
      <rPr>
        <sz val="11"/>
        <color theme="1"/>
        <rFont val="Calibri"/>
        <family val="2"/>
        <charset val="204"/>
        <scheme val="minor"/>
      </rPr>
      <t>/D</t>
    </r>
    <r>
      <rPr>
        <vertAlign val="subscript"/>
        <sz val="11"/>
        <color theme="1"/>
        <rFont val="Calibri"/>
        <family val="2"/>
        <charset val="204"/>
        <scheme val="minor"/>
      </rPr>
      <t>k</t>
    </r>
  </si>
  <si>
    <t>x=</t>
  </si>
  <si>
    <t>Интерполирование функций: Метод Лагранжа</t>
  </si>
  <si>
    <r>
      <t>∑</t>
    </r>
    <r>
      <rPr>
        <sz val="19.25"/>
        <color theme="1"/>
        <rFont val="Calibri"/>
        <family val="2"/>
        <charset val="204"/>
      </rPr>
      <t xml:space="preserve"> </t>
    </r>
    <r>
      <rPr>
        <sz val="11"/>
        <color theme="1"/>
        <rFont val="Calibri"/>
        <family val="2"/>
        <charset val="204"/>
      </rPr>
      <t>y</t>
    </r>
    <r>
      <rPr>
        <vertAlign val="subscript"/>
        <sz val="11"/>
        <color theme="1"/>
        <rFont val="Calibri"/>
        <family val="2"/>
        <charset val="204"/>
      </rPr>
      <t>k</t>
    </r>
    <r>
      <rPr>
        <sz val="11"/>
        <color theme="1"/>
        <rFont val="Calibri"/>
        <family val="2"/>
        <charset val="204"/>
      </rPr>
      <t xml:space="preserve"> / D</t>
    </r>
    <r>
      <rPr>
        <vertAlign val="subscript"/>
        <sz val="11"/>
        <color theme="1"/>
        <rFont val="Calibri"/>
        <family val="2"/>
        <charset val="204"/>
      </rPr>
      <t>k</t>
    </r>
    <r>
      <rPr>
        <sz val="11"/>
        <color theme="1"/>
        <rFont val="Calibri"/>
        <family val="2"/>
        <charset val="204"/>
      </rPr>
      <t xml:space="preserve"> =</t>
    </r>
  </si>
  <si>
    <r>
      <t>G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+1(X) =</t>
    </r>
  </si>
  <si>
    <t>F(0,332) =</t>
  </si>
  <si>
    <t>Ответ: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</si>
</sst>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0" formatCode="0.000000"/>
    <numFmt numFmtId="171" formatCode="0.00000"/>
    <numFmt numFmtId="173" formatCode="0.000"/>
    <numFmt numFmtId="182" formatCode="0.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9.25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70" fontId="0" fillId="0" borderId="0" xfId="0" applyNumberFormat="1"/>
    <xf numFmtId="171" fontId="0" fillId="0" borderId="0" xfId="0" applyNumberFormat="1"/>
    <xf numFmtId="173" fontId="0" fillId="0" borderId="0" xfId="0" applyNumberFormat="1"/>
    <xf numFmtId="2" fontId="0" fillId="0" borderId="0" xfId="0" applyNumberFormat="1"/>
    <xf numFmtId="170" fontId="0" fillId="0" borderId="0" xfId="1" applyNumberFormat="1" applyFont="1"/>
    <xf numFmtId="2" fontId="0" fillId="0" borderId="0" xfId="0" applyNumberFormat="1" applyAlignment="1">
      <alignment horizontal="center"/>
    </xf>
    <xf numFmtId="182" fontId="0" fillId="0" borderId="0" xfId="0" applyNumberFormat="1"/>
    <xf numFmtId="1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E6FD-7BA9-46C7-8594-54F49FB647A0}">
  <dimension ref="A1:I10"/>
  <sheetViews>
    <sheetView zoomScale="175" zoomScaleNormal="175" workbookViewId="0">
      <selection activeCell="E10" sqref="E10"/>
    </sheetView>
  </sheetViews>
  <sheetFormatPr defaultRowHeight="15" x14ac:dyDescent="0.25"/>
  <cols>
    <col min="1" max="1" width="6.28515625" customWidth="1"/>
    <col min="2" max="2" width="6.7109375" customWidth="1"/>
    <col min="4" max="4" width="12.42578125" customWidth="1"/>
    <col min="5" max="5" width="16.28515625" customWidth="1"/>
    <col min="8" max="8" width="16.7109375" customWidth="1"/>
    <col min="9" max="9" width="13.85546875" customWidth="1"/>
  </cols>
  <sheetData>
    <row r="1" spans="1:9" x14ac:dyDescent="0.25">
      <c r="A1" s="7" t="s">
        <v>7</v>
      </c>
      <c r="B1" s="7"/>
      <c r="C1" s="7"/>
      <c r="D1" s="7"/>
      <c r="E1" s="7"/>
      <c r="F1" s="7"/>
      <c r="G1" s="7"/>
      <c r="H1" s="7"/>
      <c r="I1" s="7"/>
    </row>
    <row r="2" spans="1:9" ht="18" x14ac:dyDescent="0.35">
      <c r="A2" s="5" t="s">
        <v>0</v>
      </c>
      <c r="B2" s="5" t="s">
        <v>1</v>
      </c>
      <c r="C2" s="5" t="s">
        <v>2</v>
      </c>
      <c r="D2" s="7" t="s">
        <v>3</v>
      </c>
      <c r="E2" s="7"/>
      <c r="F2" s="7"/>
      <c r="G2" s="7"/>
      <c r="H2" s="5" t="s">
        <v>4</v>
      </c>
      <c r="I2" s="5" t="s">
        <v>5</v>
      </c>
    </row>
    <row r="3" spans="1:9" x14ac:dyDescent="0.25">
      <c r="A3" s="9">
        <v>0</v>
      </c>
      <c r="B3" s="5">
        <v>0.15</v>
      </c>
      <c r="C3" s="5">
        <v>6.6165900000000004</v>
      </c>
      <c r="D3" s="5">
        <f>B8-B3</f>
        <v>0.18200000000000002</v>
      </c>
      <c r="E3" s="5">
        <f>B3-B4</f>
        <v>-0.06</v>
      </c>
      <c r="F3" s="5">
        <f>B3-B5</f>
        <v>-0.13999999999999999</v>
      </c>
      <c r="G3" s="8">
        <f>B3-B6</f>
        <v>-0.19999999999999998</v>
      </c>
      <c r="H3" s="2">
        <f>D3*E3*F3*G3</f>
        <v>-3.0575999999999997E-4</v>
      </c>
      <c r="I3" s="5">
        <f>C3/H3</f>
        <v>-21639.81554160126</v>
      </c>
    </row>
    <row r="4" spans="1:9" x14ac:dyDescent="0.25">
      <c r="A4" s="9">
        <v>1</v>
      </c>
      <c r="B4" s="5">
        <v>0.21</v>
      </c>
      <c r="C4" s="5">
        <v>4.6917</v>
      </c>
      <c r="D4" s="5">
        <f>B4-B3</f>
        <v>0.06</v>
      </c>
      <c r="E4" s="5">
        <f>B8-B4</f>
        <v>0.12200000000000003</v>
      </c>
      <c r="F4" s="5">
        <f>B4-B5</f>
        <v>-7.9999999999999988E-2</v>
      </c>
      <c r="G4" s="5">
        <f>B4-B6</f>
        <v>-0.13999999999999999</v>
      </c>
      <c r="H4" s="2">
        <f t="shared" ref="H4:H6" si="0">D4*E4*F4*G4</f>
        <v>8.1983999999999993E-5</v>
      </c>
      <c r="I4" s="5">
        <f t="shared" ref="I4:I6" si="1">C4/H4</f>
        <v>57227.019906323192</v>
      </c>
    </row>
    <row r="5" spans="1:9" x14ac:dyDescent="0.25">
      <c r="A5" s="9">
        <v>2</v>
      </c>
      <c r="B5" s="5">
        <v>0.28999999999999998</v>
      </c>
      <c r="C5" s="5">
        <v>3.3510599999999999</v>
      </c>
      <c r="D5" s="5">
        <f>B5-B3</f>
        <v>0.13999999999999999</v>
      </c>
      <c r="E5" s="5">
        <f>B5-B4</f>
        <v>7.9999999999999988E-2</v>
      </c>
      <c r="F5" s="5">
        <f>B8-B5</f>
        <v>4.2000000000000037E-2</v>
      </c>
      <c r="G5" s="5">
        <f>B5-B6</f>
        <v>-0.06</v>
      </c>
      <c r="H5" s="2">
        <f t="shared" si="0"/>
        <v>-2.8224000000000016E-5</v>
      </c>
      <c r="I5" s="8">
        <f t="shared" si="1"/>
        <v>-118730.8673469387</v>
      </c>
    </row>
    <row r="6" spans="1:9" x14ac:dyDescent="0.25">
      <c r="A6" s="9">
        <v>3</v>
      </c>
      <c r="B6" s="5">
        <v>0.35</v>
      </c>
      <c r="C6" s="5">
        <v>2.7395100000000001</v>
      </c>
      <c r="D6" s="5">
        <f>B6-B3</f>
        <v>0.19999999999999998</v>
      </c>
      <c r="E6" s="5">
        <f>B6-B4</f>
        <v>0.13999999999999999</v>
      </c>
      <c r="F6" s="5">
        <f>B6-B5</f>
        <v>0.06</v>
      </c>
      <c r="G6" s="4">
        <f>B8-B6</f>
        <v>-1.799999999999996E-2</v>
      </c>
      <c r="H6" s="6">
        <f t="shared" si="0"/>
        <v>-3.0239999999999927E-5</v>
      </c>
      <c r="I6" s="5">
        <f t="shared" si="1"/>
        <v>-90592.261904762127</v>
      </c>
    </row>
    <row r="8" spans="1:9" ht="25.5" x14ac:dyDescent="0.4">
      <c r="A8" t="s">
        <v>6</v>
      </c>
      <c r="B8">
        <v>0.33200000000000002</v>
      </c>
      <c r="D8" s="1" t="s">
        <v>8</v>
      </c>
      <c r="E8" s="5">
        <f>SUM(I3:I6)</f>
        <v>-173735.9248869789</v>
      </c>
    </row>
    <row r="9" spans="1:9" ht="18" x14ac:dyDescent="0.35">
      <c r="D9" t="s">
        <v>9</v>
      </c>
      <c r="E9" s="6">
        <f>D3*E4*F5*G6</f>
        <v>-1.6786223999999984E-5</v>
      </c>
    </row>
    <row r="10" spans="1:9" x14ac:dyDescent="0.25">
      <c r="C10" t="s">
        <v>11</v>
      </c>
      <c r="D10" t="s">
        <v>10</v>
      </c>
      <c r="E10" s="3">
        <f>E8*E9</f>
        <v>2.9163701519999998</v>
      </c>
    </row>
  </sheetData>
  <mergeCells count="2">
    <mergeCell ref="A1:I1"/>
    <mergeCell ref="D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2C62-9A45-48E4-A07B-531F3C6996A2}">
  <dimension ref="A1:I10"/>
  <sheetViews>
    <sheetView zoomScale="175" zoomScaleNormal="175" workbookViewId="0">
      <selection activeCell="B9" sqref="B9"/>
    </sheetView>
  </sheetViews>
  <sheetFormatPr defaultRowHeight="15" x14ac:dyDescent="0.25"/>
  <cols>
    <col min="1" max="1" width="6.28515625" customWidth="1"/>
    <col min="2" max="2" width="6.7109375" customWidth="1"/>
    <col min="3" max="3" width="11.7109375" customWidth="1"/>
    <col min="4" max="4" width="12.42578125" customWidth="1"/>
    <col min="5" max="5" width="16.28515625" customWidth="1"/>
    <col min="8" max="8" width="16.7109375" customWidth="1"/>
    <col min="9" max="9" width="13.85546875" customWidth="1"/>
  </cols>
  <sheetData>
    <row r="1" spans="1:9" x14ac:dyDescent="0.25">
      <c r="A1" s="7" t="s">
        <v>7</v>
      </c>
      <c r="B1" s="7"/>
      <c r="C1" s="7"/>
      <c r="D1" s="7"/>
      <c r="E1" s="7"/>
      <c r="F1" s="7"/>
      <c r="G1" s="7"/>
      <c r="H1" s="7"/>
      <c r="I1" s="7"/>
    </row>
    <row r="2" spans="1:9" ht="18" x14ac:dyDescent="0.35">
      <c r="A2" s="5" t="s">
        <v>0</v>
      </c>
      <c r="B2" s="5" t="s">
        <v>1</v>
      </c>
      <c r="C2" s="5" t="s">
        <v>2</v>
      </c>
      <c r="D2" s="7" t="s">
        <v>3</v>
      </c>
      <c r="E2" s="7"/>
      <c r="F2" s="7"/>
      <c r="G2" s="7"/>
      <c r="H2" s="5" t="s">
        <v>4</v>
      </c>
      <c r="I2" s="5" t="s">
        <v>5</v>
      </c>
    </row>
    <row r="3" spans="1:9" x14ac:dyDescent="0.25">
      <c r="A3" s="9">
        <v>0</v>
      </c>
      <c r="B3" s="5">
        <v>0.21</v>
      </c>
      <c r="C3" s="3">
        <v>4.6917</v>
      </c>
      <c r="D3" s="5">
        <f>B8-B3</f>
        <v>0.10700000000000001</v>
      </c>
      <c r="E3" s="5">
        <f>B3-B4</f>
        <v>-7.9999999999999988E-2</v>
      </c>
      <c r="F3" s="5">
        <f>B3-B5</f>
        <v>-0.13999999999999999</v>
      </c>
      <c r="G3" s="8">
        <f>B3-B6</f>
        <v>-0.19000000000000003</v>
      </c>
      <c r="H3" s="2">
        <f>D3*E3*F3*G3</f>
        <v>-2.27696E-4</v>
      </c>
      <c r="I3" s="5">
        <f>C3/H3</f>
        <v>-20605.105052350504</v>
      </c>
    </row>
    <row r="4" spans="1:9" x14ac:dyDescent="0.25">
      <c r="A4" s="9">
        <v>1</v>
      </c>
      <c r="B4" s="5">
        <v>0.28999999999999998</v>
      </c>
      <c r="C4" s="3">
        <v>3.3510599999999999</v>
      </c>
      <c r="D4" s="5">
        <f>B4-B3</f>
        <v>7.9999999999999988E-2</v>
      </c>
      <c r="E4" s="5">
        <f>B8-B4</f>
        <v>2.7000000000000024E-2</v>
      </c>
      <c r="F4" s="5">
        <f>B4-B5</f>
        <v>-0.06</v>
      </c>
      <c r="G4" s="5">
        <f>B4-B6</f>
        <v>-0.11000000000000004</v>
      </c>
      <c r="H4" s="2">
        <f t="shared" ref="H4:H6" si="0">D4*E4*F4*G4</f>
        <v>1.4256000000000017E-5</v>
      </c>
      <c r="I4" s="5">
        <f t="shared" ref="I4:I6" si="1">C4/H4</f>
        <v>235063.13131313102</v>
      </c>
    </row>
    <row r="5" spans="1:9" x14ac:dyDescent="0.25">
      <c r="A5" s="9">
        <v>2</v>
      </c>
      <c r="B5" s="5">
        <v>0.35</v>
      </c>
      <c r="C5" s="3">
        <v>2.7395100000000001</v>
      </c>
      <c r="D5" s="5">
        <f>B5-B3</f>
        <v>0.13999999999999999</v>
      </c>
      <c r="E5" s="5">
        <f>B5-B4</f>
        <v>0.06</v>
      </c>
      <c r="F5" s="5">
        <f>B8-B5</f>
        <v>-3.2999999999999974E-2</v>
      </c>
      <c r="G5" s="5">
        <f>B5-B6</f>
        <v>-5.0000000000000044E-2</v>
      </c>
      <c r="H5" s="2">
        <f t="shared" si="0"/>
        <v>1.3859999999999999E-5</v>
      </c>
      <c r="I5" s="8">
        <f t="shared" si="1"/>
        <v>197655.84415584418</v>
      </c>
    </row>
    <row r="6" spans="1:9" x14ac:dyDescent="0.25">
      <c r="A6" s="9">
        <v>3</v>
      </c>
      <c r="B6" s="5">
        <v>0.4</v>
      </c>
      <c r="C6" s="3">
        <v>2.3652199999999999</v>
      </c>
      <c r="D6" s="5">
        <f>B6-B3</f>
        <v>0.19000000000000003</v>
      </c>
      <c r="E6" s="5">
        <f>B6-B4</f>
        <v>0.11000000000000004</v>
      </c>
      <c r="F6" s="5">
        <f>B6-B5</f>
        <v>5.0000000000000044E-2</v>
      </c>
      <c r="G6" s="4">
        <f>B8-B6</f>
        <v>-8.3000000000000018E-2</v>
      </c>
      <c r="H6" s="6">
        <f t="shared" si="0"/>
        <v>-8.6735000000000138E-5</v>
      </c>
      <c r="I6" s="5">
        <f t="shared" si="1"/>
        <v>-27269.499048826841</v>
      </c>
    </row>
    <row r="8" spans="1:9" ht="25.5" x14ac:dyDescent="0.4">
      <c r="A8" t="s">
        <v>6</v>
      </c>
      <c r="B8">
        <v>0.317</v>
      </c>
      <c r="D8" s="1" t="s">
        <v>8</v>
      </c>
      <c r="E8" s="5">
        <f>SUM(I3:I6)</f>
        <v>384844.37136779784</v>
      </c>
    </row>
    <row r="9" spans="1:9" ht="18" x14ac:dyDescent="0.35">
      <c r="D9" t="s">
        <v>9</v>
      </c>
      <c r="E9" s="6">
        <f>D3*E4*F5*G6</f>
        <v>7.9129710000000027E-6</v>
      </c>
    </row>
    <row r="10" spans="1:9" x14ac:dyDescent="0.25">
      <c r="C10" t="s">
        <v>11</v>
      </c>
      <c r="D10" t="s">
        <v>10</v>
      </c>
      <c r="E10" s="3">
        <f>E8*E9</f>
        <v>3.0452623501466158</v>
      </c>
    </row>
  </sheetData>
  <mergeCells count="2">
    <mergeCell ref="A1:I1"/>
    <mergeCell ref="D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1F4F-8701-4BC1-BBCC-A5308CC153B6}">
  <dimension ref="A1:I10"/>
  <sheetViews>
    <sheetView tabSelected="1" zoomScale="175" zoomScaleNormal="175" workbookViewId="0">
      <selection activeCell="B8" sqref="B8"/>
    </sheetView>
  </sheetViews>
  <sheetFormatPr defaultRowHeight="15" x14ac:dyDescent="0.25"/>
  <cols>
    <col min="1" max="1" width="6.28515625" customWidth="1"/>
    <col min="2" max="2" width="6.7109375" customWidth="1"/>
    <col min="3" max="3" width="11.7109375" customWidth="1"/>
    <col min="4" max="4" width="12.42578125" customWidth="1"/>
    <col min="5" max="5" width="16.28515625" customWidth="1"/>
    <col min="8" max="8" width="16.7109375" customWidth="1"/>
    <col min="9" max="9" width="13.85546875" customWidth="1"/>
  </cols>
  <sheetData>
    <row r="1" spans="1:9" x14ac:dyDescent="0.25">
      <c r="A1" s="7" t="s">
        <v>7</v>
      </c>
      <c r="B1" s="7"/>
      <c r="C1" s="7"/>
      <c r="D1" s="7"/>
      <c r="E1" s="7"/>
      <c r="F1" s="7"/>
      <c r="G1" s="7"/>
      <c r="H1" s="7"/>
      <c r="I1" s="7"/>
    </row>
    <row r="2" spans="1:9" ht="18" x14ac:dyDescent="0.35">
      <c r="A2" s="5" t="s">
        <v>0</v>
      </c>
      <c r="B2" s="5" t="s">
        <v>1</v>
      </c>
      <c r="C2" s="5" t="s">
        <v>2</v>
      </c>
      <c r="D2" s="7" t="s">
        <v>3</v>
      </c>
      <c r="E2" s="7"/>
      <c r="F2" s="7"/>
      <c r="G2" s="7"/>
      <c r="H2" s="5" t="s">
        <v>4</v>
      </c>
      <c r="I2" s="5" t="s">
        <v>5</v>
      </c>
    </row>
    <row r="3" spans="1:9" x14ac:dyDescent="0.25">
      <c r="A3" s="9">
        <v>0</v>
      </c>
      <c r="B3" s="5">
        <v>0.21</v>
      </c>
      <c r="C3" s="3">
        <v>4.6917</v>
      </c>
      <c r="D3" s="5">
        <f>B8-B3</f>
        <v>0.12200000000000003</v>
      </c>
      <c r="E3" s="5">
        <f>B3-B4</f>
        <v>-7.9999999999999988E-2</v>
      </c>
      <c r="F3" s="5">
        <f>B3-B5</f>
        <v>-0.13999999999999999</v>
      </c>
      <c r="G3" s="8">
        <f>B3-B6</f>
        <v>-0.19000000000000003</v>
      </c>
      <c r="H3" s="2">
        <f>D3*E3*F3*G3</f>
        <v>-2.5961600000000006E-4</v>
      </c>
      <c r="I3" s="5">
        <f>C3/H3</f>
        <v>-18071.690496733634</v>
      </c>
    </row>
    <row r="4" spans="1:9" x14ac:dyDescent="0.25">
      <c r="A4" s="9">
        <v>1</v>
      </c>
      <c r="B4" s="5">
        <v>0.28999999999999998</v>
      </c>
      <c r="C4" s="3">
        <v>3.3510599999999999</v>
      </c>
      <c r="D4" s="5">
        <f>B4-B3</f>
        <v>7.9999999999999988E-2</v>
      </c>
      <c r="E4" s="5">
        <f>B8-B4</f>
        <v>4.2000000000000037E-2</v>
      </c>
      <c r="F4" s="5">
        <f>B4-B5</f>
        <v>-0.06</v>
      </c>
      <c r="G4" s="5">
        <f>B4-B6</f>
        <v>-0.11000000000000004</v>
      </c>
      <c r="H4" s="2">
        <f t="shared" ref="H4:H6" si="0">D4*E4*F4*G4</f>
        <v>2.2176000000000023E-5</v>
      </c>
      <c r="I4" s="5">
        <f t="shared" ref="I4:I6" si="1">C4/H4</f>
        <v>151112.01298701283</v>
      </c>
    </row>
    <row r="5" spans="1:9" x14ac:dyDescent="0.25">
      <c r="A5" s="9">
        <v>2</v>
      </c>
      <c r="B5" s="5">
        <v>0.35</v>
      </c>
      <c r="C5" s="3">
        <v>2.7395100000000001</v>
      </c>
      <c r="D5" s="5">
        <f>B5-B3</f>
        <v>0.13999999999999999</v>
      </c>
      <c r="E5" s="5">
        <f>B5-B4</f>
        <v>0.06</v>
      </c>
      <c r="F5" s="5">
        <f>B8-B5</f>
        <v>-1.799999999999996E-2</v>
      </c>
      <c r="G5" s="5">
        <f>B5-B6</f>
        <v>-5.0000000000000044E-2</v>
      </c>
      <c r="H5" s="2">
        <f t="shared" si="0"/>
        <v>7.5599999999999903E-6</v>
      </c>
      <c r="I5" s="8">
        <f t="shared" si="1"/>
        <v>362369.0476190481</v>
      </c>
    </row>
    <row r="6" spans="1:9" x14ac:dyDescent="0.25">
      <c r="A6" s="9">
        <v>3</v>
      </c>
      <c r="B6" s="5">
        <v>0.4</v>
      </c>
      <c r="C6" s="3">
        <v>2.3652199999999999</v>
      </c>
      <c r="D6" s="5">
        <f>B6-B3</f>
        <v>0.19000000000000003</v>
      </c>
      <c r="E6" s="5">
        <f>B6-B4</f>
        <v>0.11000000000000004</v>
      </c>
      <c r="F6" s="5">
        <f>B6-B5</f>
        <v>5.0000000000000044E-2</v>
      </c>
      <c r="G6" s="4">
        <f>B8-B6</f>
        <v>-6.8000000000000005E-2</v>
      </c>
      <c r="H6" s="6">
        <f t="shared" si="0"/>
        <v>-7.1060000000000109E-5</v>
      </c>
      <c r="I6" s="5">
        <f t="shared" si="1"/>
        <v>-33284.829721362177</v>
      </c>
    </row>
    <row r="8" spans="1:9" ht="25.5" x14ac:dyDescent="0.4">
      <c r="A8" t="s">
        <v>6</v>
      </c>
      <c r="B8">
        <v>0.33200000000000002</v>
      </c>
      <c r="D8" s="1" t="s">
        <v>8</v>
      </c>
      <c r="E8" s="5">
        <f>SUM(I3:I6)</f>
        <v>462124.5403879651</v>
      </c>
    </row>
    <row r="9" spans="1:9" ht="18" x14ac:dyDescent="0.35">
      <c r="D9" t="s">
        <v>9</v>
      </c>
      <c r="E9" s="6">
        <f>D3*E4*F5*G6</f>
        <v>6.2717759999999932E-6</v>
      </c>
    </row>
    <row r="10" spans="1:9" x14ac:dyDescent="0.25">
      <c r="C10" t="s">
        <v>11</v>
      </c>
      <c r="D10" t="s">
        <v>10</v>
      </c>
      <c r="E10" s="3">
        <f>E8*E9</f>
        <v>2.8983416014162668</v>
      </c>
    </row>
  </sheetData>
  <mergeCells count="2">
    <mergeCell ref="A1:I1"/>
    <mergeCell ref="D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Лист1 (2)</vt:lpstr>
      <vt:lpstr>Лист1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2025-10-06T09:42:33Z</dcterms:created>
  <dcterms:modified xsi:type="dcterms:W3CDTF">2025-10-06T10:48:01Z</dcterms:modified>
</cp:coreProperties>
</file>