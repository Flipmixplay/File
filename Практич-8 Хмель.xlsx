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ikit\Downloads\Telegram Desktop\"/>
    </mc:Choice>
  </mc:AlternateContent>
  <xr:revisionPtr revIDLastSave="0" documentId="13_ncr:1_{850A09B4-241C-4FFE-898B-9D4890FC2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C2" i="1" l="1"/>
  <c r="B3" i="1"/>
  <c r="C3" i="1" s="1"/>
  <c r="A21" i="1"/>
  <c r="A22" i="1"/>
  <c r="A13" i="1"/>
  <c r="A14" i="1" s="1"/>
  <c r="A15" i="1" s="1"/>
  <c r="A16" i="1" s="1"/>
  <c r="A17" i="1" s="1"/>
  <c r="A18" i="1" s="1"/>
  <c r="A19" i="1" s="1"/>
  <c r="A20" i="1" s="1"/>
  <c r="A4" i="1"/>
  <c r="A5" i="1" s="1"/>
  <c r="A6" i="1" s="1"/>
  <c r="A7" i="1" s="1"/>
  <c r="A8" i="1" s="1"/>
  <c r="A9" i="1" s="1"/>
  <c r="A10" i="1" s="1"/>
  <c r="A11" i="1" s="1"/>
  <c r="A12" i="1" s="1"/>
  <c r="D2" i="1" l="1"/>
  <c r="B4" i="1"/>
  <c r="B5" i="1" l="1"/>
  <c r="C4" i="1"/>
  <c r="D3" i="1" s="1"/>
  <c r="E2" i="1" s="1"/>
  <c r="F2" i="1" s="1"/>
  <c r="B6" i="1" l="1"/>
  <c r="C5" i="1"/>
  <c r="D4" i="1" s="1"/>
  <c r="E3" i="1" s="1"/>
  <c r="F3" i="1" s="1"/>
  <c r="B7" i="1" l="1"/>
  <c r="C6" i="1"/>
  <c r="D5" i="1" l="1"/>
  <c r="E4" i="1" s="1"/>
  <c r="F4" i="1" s="1"/>
  <c r="B8" i="1"/>
  <c r="C7" i="1"/>
  <c r="D6" i="1" s="1"/>
  <c r="E5" i="1" s="1"/>
  <c r="F5" i="1" s="1"/>
  <c r="B9" i="1" l="1"/>
  <c r="C8" i="1"/>
  <c r="D7" i="1" s="1"/>
  <c r="E6" i="1" s="1"/>
  <c r="F6" i="1" s="1"/>
  <c r="B10" i="1" l="1"/>
  <c r="C9" i="1"/>
  <c r="D8" i="1" l="1"/>
  <c r="E7" i="1" s="1"/>
  <c r="F7" i="1" s="1"/>
  <c r="B11" i="1"/>
  <c r="C10" i="1"/>
  <c r="D9" i="1" s="1"/>
  <c r="E8" i="1" s="1"/>
  <c r="F8" i="1" s="1"/>
  <c r="B12" i="1" l="1"/>
  <c r="C11" i="1"/>
  <c r="D10" i="1" s="1"/>
  <c r="E9" i="1" s="1"/>
  <c r="F9" i="1" s="1"/>
  <c r="C12" i="1" l="1"/>
  <c r="D11" i="1" s="1"/>
  <c r="E10" i="1" s="1"/>
  <c r="F10" i="1" s="1"/>
  <c r="B13" i="1"/>
  <c r="B14" i="1" l="1"/>
  <c r="C13" i="1"/>
  <c r="D12" i="1" s="1"/>
  <c r="E11" i="1" s="1"/>
  <c r="F11" i="1" s="1"/>
  <c r="B15" i="1" l="1"/>
  <c r="C14" i="1"/>
  <c r="D13" i="1" s="1"/>
  <c r="E12" i="1" s="1"/>
  <c r="F12" i="1" s="1"/>
  <c r="B16" i="1" l="1"/>
  <c r="C15" i="1"/>
  <c r="D14" i="1" s="1"/>
  <c r="E13" i="1" s="1"/>
  <c r="F13" i="1" s="1"/>
  <c r="B17" i="1" l="1"/>
  <c r="C16" i="1"/>
  <c r="D15" i="1" s="1"/>
  <c r="E14" i="1" s="1"/>
  <c r="F14" i="1" s="1"/>
  <c r="B18" i="1" l="1"/>
  <c r="C17" i="1"/>
  <c r="D16" i="1" s="1"/>
  <c r="E15" i="1" s="1"/>
  <c r="F15" i="1" s="1"/>
  <c r="B19" i="1" l="1"/>
  <c r="C18" i="1"/>
  <c r="D17" i="1" s="1"/>
  <c r="E16" i="1" s="1"/>
  <c r="F16" i="1" s="1"/>
  <c r="B20" i="1" l="1"/>
  <c r="C19" i="1"/>
  <c r="D18" i="1" s="1"/>
  <c r="E17" i="1" s="1"/>
  <c r="F17" i="1" s="1"/>
  <c r="B21" i="1" l="1"/>
  <c r="C20" i="1"/>
  <c r="D19" i="1" s="1"/>
  <c r="E18" i="1" s="1"/>
  <c r="F18" i="1" s="1"/>
  <c r="B22" i="1" l="1"/>
  <c r="C21" i="1"/>
  <c r="D20" i="1" l="1"/>
  <c r="E19" i="1" s="1"/>
  <c r="F19" i="1" s="1"/>
  <c r="D24" i="1"/>
  <c r="C22" i="1"/>
  <c r="D21" i="1" s="1"/>
  <c r="E20" i="1" s="1"/>
  <c r="F20" i="1" s="1"/>
  <c r="F23" i="1" s="1"/>
  <c r="D25" i="1" s="1"/>
</calcChain>
</file>

<file path=xl/sharedStrings.xml><?xml version="1.0" encoding="utf-8"?>
<sst xmlns="http://schemas.openxmlformats.org/spreadsheetml/2006/main" count="10" uniqueCount="10">
  <si>
    <t>k</t>
  </si>
  <si>
    <t>xk</t>
  </si>
  <si>
    <t>yk =1/(1+xk^2)</t>
  </si>
  <si>
    <t>∆yk</t>
  </si>
  <si>
    <t>∆^2yk</t>
  </si>
  <si>
    <t>|∆^2yk|</t>
  </si>
  <si>
    <t>h=</t>
  </si>
  <si>
    <t>Значение интеграла</t>
  </si>
  <si>
    <t>погрешность</t>
  </si>
  <si>
    <t>max|∆^2yk|=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</si>
</sst>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7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45" zoomScaleNormal="145" workbookViewId="0">
      <selection activeCell="D8" sqref="D8"/>
    </sheetView>
  </sheetViews>
  <sheetFormatPr defaultRowHeight="15" x14ac:dyDescent="0.25"/>
  <cols>
    <col min="1" max="1" width="3.85546875" customWidth="1"/>
    <col min="2" max="2" width="6.42578125" customWidth="1"/>
    <col min="3" max="3" width="14.85546875" customWidth="1"/>
    <col min="4" max="4" width="16.5703125" customWidth="1"/>
    <col min="5" max="5" width="14.42578125" customWidth="1"/>
    <col min="6" max="6" width="7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0</v>
      </c>
      <c r="B2" s="1">
        <v>1.4</v>
      </c>
      <c r="C2" s="1">
        <f>POWER(B2,2) *LOG10(B2)</f>
        <v>0.28641094992934646</v>
      </c>
      <c r="D2" s="2">
        <f>C3-C2</f>
        <v>5.286527476968822E-2</v>
      </c>
      <c r="E2" s="2">
        <f>D3-D2</f>
        <v>4.0638334065599135E-3</v>
      </c>
      <c r="F2" s="1">
        <f>ABS(E2)</f>
        <v>4.0638334065599135E-3</v>
      </c>
    </row>
    <row r="3" spans="1:6" x14ac:dyDescent="0.25">
      <c r="A3" s="1">
        <v>1</v>
      </c>
      <c r="B3" s="1">
        <f>B2+$B$23</f>
        <v>1.45</v>
      </c>
      <c r="C3" s="1">
        <f t="shared" ref="C3:C22" si="0">POWER(B3,2) *LOG10(B3)</f>
        <v>0.33927622469903468</v>
      </c>
      <c r="D3" s="2">
        <f>C4-C3</f>
        <v>5.6929108176248133E-2</v>
      </c>
      <c r="E3" s="2">
        <f>D4-D3</f>
        <v>4.1374638025944432E-3</v>
      </c>
      <c r="F3" s="1">
        <f t="shared" ref="F3:F20" si="1">ABS(E3)</f>
        <v>4.1374638025944432E-3</v>
      </c>
    </row>
    <row r="4" spans="1:6" x14ac:dyDescent="0.25">
      <c r="A4" s="1">
        <f>A3+1</f>
        <v>2</v>
      </c>
      <c r="B4" s="1">
        <f>B3+$B$23</f>
        <v>1.5</v>
      </c>
      <c r="C4" s="1">
        <f t="shared" si="0"/>
        <v>0.39620533287528281</v>
      </c>
      <c r="D4" s="2">
        <f t="shared" ref="D4:E19" si="2">C5-C4</f>
        <v>6.1066571978842576E-2</v>
      </c>
      <c r="E4" s="2">
        <f t="shared" si="2"/>
        <v>4.2086787661995695E-3</v>
      </c>
      <c r="F4" s="1">
        <f t="shared" si="1"/>
        <v>4.2086787661995695E-3</v>
      </c>
    </row>
    <row r="5" spans="1:6" x14ac:dyDescent="0.25">
      <c r="A5" s="1">
        <f t="shared" ref="A5:A22" si="3">A4+1</f>
        <v>3</v>
      </c>
      <c r="B5" s="1">
        <f>B4+$B$23</f>
        <v>1.55</v>
      </c>
      <c r="C5" s="1">
        <f t="shared" si="0"/>
        <v>0.45727190485412539</v>
      </c>
      <c r="D5" s="2">
        <f t="shared" si="2"/>
        <v>6.5275250745042146E-2</v>
      </c>
      <c r="E5" s="2">
        <f t="shared" si="2"/>
        <v>4.2776317781504369E-3</v>
      </c>
      <c r="F5" s="1">
        <f t="shared" si="1"/>
        <v>4.2776317781504369E-3</v>
      </c>
    </row>
    <row r="6" spans="1:6" x14ac:dyDescent="0.25">
      <c r="A6" s="1">
        <f t="shared" si="3"/>
        <v>4</v>
      </c>
      <c r="B6" s="1">
        <f>B5+$B$23</f>
        <v>1.6</v>
      </c>
      <c r="C6" s="1">
        <f t="shared" si="0"/>
        <v>0.52254715559916753</v>
      </c>
      <c r="D6" s="2">
        <f t="shared" si="2"/>
        <v>6.9552882523192583E-2</v>
      </c>
      <c r="E6" s="2">
        <f t="shared" si="2"/>
        <v>4.3444621376591552E-3</v>
      </c>
      <c r="F6" s="1">
        <f t="shared" si="1"/>
        <v>4.3444621376591552E-3</v>
      </c>
    </row>
    <row r="7" spans="1:6" x14ac:dyDescent="0.25">
      <c r="A7" s="1">
        <f t="shared" si="3"/>
        <v>5</v>
      </c>
      <c r="B7" s="1">
        <f>B6+$B$23</f>
        <v>1.6500000000000001</v>
      </c>
      <c r="C7" s="1">
        <f t="shared" si="0"/>
        <v>0.59210003812236012</v>
      </c>
      <c r="D7" s="2">
        <f t="shared" si="2"/>
        <v>7.3897344660851738E-2</v>
      </c>
      <c r="E7" s="2">
        <f t="shared" si="2"/>
        <v>4.4092966577135018E-3</v>
      </c>
      <c r="F7" s="1">
        <f t="shared" si="1"/>
        <v>4.4092966577135018E-3</v>
      </c>
    </row>
    <row r="8" spans="1:6" x14ac:dyDescent="0.25">
      <c r="A8" s="1">
        <f t="shared" si="3"/>
        <v>6</v>
      </c>
      <c r="B8" s="1">
        <f>B7+$B$23</f>
        <v>1.7000000000000002</v>
      </c>
      <c r="C8" s="1">
        <f t="shared" si="0"/>
        <v>0.66599738278321186</v>
      </c>
      <c r="D8" s="2">
        <f t="shared" si="2"/>
        <v>7.830664131856524E-2</v>
      </c>
      <c r="E8" s="2">
        <f t="shared" si="2"/>
        <v>4.4722511143697741E-3</v>
      </c>
      <c r="F8" s="1">
        <f t="shared" si="1"/>
        <v>4.4722511143697741E-3</v>
      </c>
    </row>
    <row r="9" spans="1:6" x14ac:dyDescent="0.25">
      <c r="A9" s="1">
        <f t="shared" si="3"/>
        <v>7</v>
      </c>
      <c r="B9" s="1">
        <f>B8+$B$23</f>
        <v>1.7500000000000002</v>
      </c>
      <c r="C9" s="1">
        <f t="shared" si="0"/>
        <v>0.7443040241017771</v>
      </c>
      <c r="D9" s="2">
        <f t="shared" si="2"/>
        <v>8.2778892432935014E-2</v>
      </c>
      <c r="E9" s="2">
        <f t="shared" si="2"/>
        <v>4.5334314916682938E-3</v>
      </c>
      <c r="F9" s="1">
        <f t="shared" si="1"/>
        <v>4.5334314916682938E-3</v>
      </c>
    </row>
    <row r="10" spans="1:6" x14ac:dyDescent="0.25">
      <c r="A10" s="1">
        <f t="shared" si="3"/>
        <v>8</v>
      </c>
      <c r="B10" s="1">
        <f>B9+$B$23</f>
        <v>1.8000000000000003</v>
      </c>
      <c r="C10" s="1">
        <f t="shared" si="0"/>
        <v>0.82708291653471211</v>
      </c>
      <c r="D10" s="2">
        <f t="shared" si="2"/>
        <v>8.7312323924603308E-2</v>
      </c>
      <c r="E10" s="2">
        <f t="shared" si="2"/>
        <v>4.5929350557943893E-3</v>
      </c>
      <c r="F10" s="1">
        <f t="shared" si="1"/>
        <v>4.5929350557943893E-3</v>
      </c>
    </row>
    <row r="11" spans="1:6" x14ac:dyDescent="0.25">
      <c r="A11" s="1">
        <f t="shared" si="3"/>
        <v>9</v>
      </c>
      <c r="B11" s="1">
        <f>B10+$B$23</f>
        <v>1.8500000000000003</v>
      </c>
      <c r="C11" s="1">
        <f t="shared" si="0"/>
        <v>0.91439524045931542</v>
      </c>
      <c r="D11" s="2">
        <f t="shared" si="2"/>
        <v>9.1905258980397697E-2</v>
      </c>
      <c r="E11" s="2">
        <f t="shared" si="2"/>
        <v>4.6508512858647322E-3</v>
      </c>
      <c r="F11" s="1">
        <f t="shared" si="1"/>
        <v>4.6508512858647322E-3</v>
      </c>
    </row>
    <row r="12" spans="1:6" x14ac:dyDescent="0.25">
      <c r="A12" s="3">
        <f t="shared" si="3"/>
        <v>10</v>
      </c>
      <c r="B12" s="1">
        <f>B11+$B$23</f>
        <v>1.9000000000000004</v>
      </c>
      <c r="C12" s="1">
        <f t="shared" si="0"/>
        <v>1.0063004994397131</v>
      </c>
      <c r="D12" s="2">
        <f t="shared" si="2"/>
        <v>9.6556110266262429E-2</v>
      </c>
      <c r="E12" s="2">
        <f t="shared" si="2"/>
        <v>4.7072626836877074E-3</v>
      </c>
      <c r="F12" s="1">
        <f t="shared" si="1"/>
        <v>4.7072626836877074E-3</v>
      </c>
    </row>
    <row r="13" spans="1:6" x14ac:dyDescent="0.25">
      <c r="A13" s="3">
        <f t="shared" si="3"/>
        <v>11</v>
      </c>
      <c r="B13" s="1">
        <f>B12+$B$23</f>
        <v>1.9500000000000004</v>
      </c>
      <c r="C13" s="1">
        <f t="shared" si="0"/>
        <v>1.1028566097059755</v>
      </c>
      <c r="D13" s="2">
        <f t="shared" si="2"/>
        <v>0.10126337294995014</v>
      </c>
      <c r="E13" s="2">
        <f t="shared" si="2"/>
        <v>4.7622454809324033E-3</v>
      </c>
      <c r="F13" s="1">
        <f t="shared" si="1"/>
        <v>4.7622454809324033E-3</v>
      </c>
    </row>
    <row r="14" spans="1:6" x14ac:dyDescent="0.25">
      <c r="A14" s="3">
        <f t="shared" si="3"/>
        <v>12</v>
      </c>
      <c r="B14" s="1">
        <f>B13+$B$23</f>
        <v>2.0000000000000004</v>
      </c>
      <c r="C14" s="1">
        <f t="shared" si="0"/>
        <v>1.2041199826559257</v>
      </c>
      <c r="D14" s="2">
        <f t="shared" si="2"/>
        <v>0.10602561843088254</v>
      </c>
      <c r="E14" s="2">
        <f t="shared" si="2"/>
        <v>4.8158702588934066E-3</v>
      </c>
      <c r="F14" s="1">
        <f t="shared" si="1"/>
        <v>4.8158702588934066E-3</v>
      </c>
    </row>
    <row r="15" spans="1:6" x14ac:dyDescent="0.25">
      <c r="A15" s="3">
        <f t="shared" si="3"/>
        <v>13</v>
      </c>
      <c r="B15" s="1">
        <f>B14+$B$23</f>
        <v>2.0500000000000003</v>
      </c>
      <c r="C15" s="1">
        <f t="shared" si="0"/>
        <v>1.3101456010868082</v>
      </c>
      <c r="D15" s="2">
        <f t="shared" si="2"/>
        <v>0.11084148868977595</v>
      </c>
      <c r="E15" s="2">
        <f t="shared" si="2"/>
        <v>4.8682024935253754E-3</v>
      </c>
      <c r="F15" s="1">
        <f t="shared" si="1"/>
        <v>4.8682024935253754E-3</v>
      </c>
    </row>
    <row r="16" spans="1:6" x14ac:dyDescent="0.25">
      <c r="A16" s="3">
        <f t="shared" si="3"/>
        <v>14</v>
      </c>
      <c r="B16" s="1">
        <f>B15+$B$23</f>
        <v>2.1</v>
      </c>
      <c r="C16" s="1">
        <f t="shared" si="0"/>
        <v>1.4209870897765842</v>
      </c>
      <c r="D16" s="2">
        <f t="shared" si="2"/>
        <v>0.11570969118330132</v>
      </c>
      <c r="E16" s="2">
        <f t="shared" si="2"/>
        <v>4.9193030362906232E-3</v>
      </c>
      <c r="F16" s="1">
        <f t="shared" si="1"/>
        <v>4.9193030362906232E-3</v>
      </c>
    </row>
    <row r="17" spans="1:6" x14ac:dyDescent="0.25">
      <c r="A17" s="3">
        <f t="shared" si="3"/>
        <v>15</v>
      </c>
      <c r="B17" s="1">
        <f>B16+$B$23</f>
        <v>2.15</v>
      </c>
      <c r="C17" s="1">
        <f t="shared" si="0"/>
        <v>1.5366967809598855</v>
      </c>
      <c r="D17" s="2">
        <f t="shared" si="2"/>
        <v>0.12062899421959195</v>
      </c>
      <c r="E17" s="2">
        <f t="shared" si="2"/>
        <v>4.9692285397022751E-3</v>
      </c>
      <c r="F17" s="1">
        <f t="shared" si="1"/>
        <v>4.9692285397022751E-3</v>
      </c>
    </row>
    <row r="18" spans="1:6" x14ac:dyDescent="0.25">
      <c r="A18" s="3">
        <f t="shared" si="3"/>
        <v>16</v>
      </c>
      <c r="B18" s="1">
        <f>B17+$B$23</f>
        <v>2.1999999999999997</v>
      </c>
      <c r="C18" s="1">
        <f t="shared" si="0"/>
        <v>1.6573257751794774</v>
      </c>
      <c r="D18" s="2">
        <f t="shared" si="2"/>
        <v>0.12559822275929422</v>
      </c>
      <c r="E18" s="2">
        <f t="shared" si="2"/>
        <v>5.0180318349990483E-3</v>
      </c>
      <c r="F18" s="1">
        <f t="shared" si="1"/>
        <v>5.0180318349990483E-3</v>
      </c>
    </row>
    <row r="19" spans="1:6" x14ac:dyDescent="0.25">
      <c r="A19" s="3">
        <f t="shared" si="3"/>
        <v>17</v>
      </c>
      <c r="B19" s="1">
        <f>B18+$B$23</f>
        <v>2.2499999999999996</v>
      </c>
      <c r="C19" s="1">
        <f t="shared" si="0"/>
        <v>1.7829239979387717</v>
      </c>
      <c r="D19" s="2">
        <f t="shared" si="2"/>
        <v>0.13061625459429327</v>
      </c>
      <c r="E19" s="2">
        <f t="shared" si="2"/>
        <v>5.0657622683030201E-3</v>
      </c>
      <c r="F19" s="1">
        <f t="shared" si="1"/>
        <v>5.0657622683030201E-3</v>
      </c>
    </row>
    <row r="20" spans="1:6" x14ac:dyDescent="0.25">
      <c r="A20" s="3">
        <f t="shared" si="3"/>
        <v>18</v>
      </c>
      <c r="B20" s="1">
        <f>B19+$B$23</f>
        <v>2.2999999999999994</v>
      </c>
      <c r="C20" s="1">
        <f t="shared" si="0"/>
        <v>1.9135402525330649</v>
      </c>
      <c r="D20" s="2">
        <f t="shared" ref="D20:E21" si="4">C21-C20</f>
        <v>0.13568201686259629</v>
      </c>
      <c r="E20" s="2">
        <f t="shared" si="4"/>
        <v>5.1124660005905653E-3</v>
      </c>
      <c r="F20" s="1">
        <f t="shared" si="1"/>
        <v>5.1124660005905653E-3</v>
      </c>
    </row>
    <row r="21" spans="1:6" x14ac:dyDescent="0.25">
      <c r="A21" s="3">
        <f t="shared" si="3"/>
        <v>19</v>
      </c>
      <c r="B21" s="1">
        <f>B20+$B$23</f>
        <v>2.3499999999999992</v>
      </c>
      <c r="C21" s="1">
        <f t="shared" si="0"/>
        <v>2.0492222693956612</v>
      </c>
      <c r="D21" s="2">
        <f t="shared" si="4"/>
        <v>0.14079448286318685</v>
      </c>
      <c r="E21" s="1"/>
      <c r="F21" s="1"/>
    </row>
    <row r="22" spans="1:6" ht="15.75" thickBot="1" x14ac:dyDescent="0.3">
      <c r="A22" s="1">
        <f t="shared" si="3"/>
        <v>20</v>
      </c>
      <c r="B22" s="1">
        <f>B21+$B$23</f>
        <v>2.399999999999999</v>
      </c>
      <c r="C22" s="1">
        <f t="shared" si="0"/>
        <v>2.1900167522588481</v>
      </c>
      <c r="D22" s="1"/>
      <c r="E22" s="1"/>
      <c r="F22" s="1"/>
    </row>
    <row r="23" spans="1:6" ht="15.75" thickBot="1" x14ac:dyDescent="0.3">
      <c r="A23" s="4" t="s">
        <v>6</v>
      </c>
      <c r="B23" s="9">
        <f>(2.4-1.4)/20</f>
        <v>0.05</v>
      </c>
      <c r="C23" s="1"/>
      <c r="D23" s="1"/>
      <c r="E23" s="10" t="s">
        <v>9</v>
      </c>
      <c r="F23" s="5">
        <f>MAX(F2:F20)</f>
        <v>5.1124660005905653E-3</v>
      </c>
    </row>
    <row r="24" spans="1:6" ht="15.75" thickTop="1" x14ac:dyDescent="0.25">
      <c r="B24" s="6" t="s">
        <v>7</v>
      </c>
      <c r="C24" s="11"/>
      <c r="D24" s="12">
        <f>B23*(C2/2+(SUM(C3:C21)+C22/2))</f>
        <v>1.0840756464897476</v>
      </c>
    </row>
    <row r="25" spans="1:6" ht="15.75" thickBot="1" x14ac:dyDescent="0.3">
      <c r="B25" s="7" t="s">
        <v>8</v>
      </c>
      <c r="C25" s="8"/>
      <c r="D25" s="5">
        <f>(B22-B2)*F23/12</f>
        <v>4.2603883338254673E-4</v>
      </c>
    </row>
    <row r="26" spans="1:6" ht="15.75" thickTop="1" x14ac:dyDescent="0.25"/>
  </sheetData>
  <mergeCells count="2">
    <mergeCell ref="B24:C24"/>
    <mergeCell ref="B25:C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Самат</dc:creator>
  <cp:lastModifiedBy>c9642</cp:lastModifiedBy>
  <dcterms:created xsi:type="dcterms:W3CDTF">2015-06-05T18:19:34Z</dcterms:created>
  <dcterms:modified xsi:type="dcterms:W3CDTF">2025-10-27T19:13:38Z</dcterms:modified>
</cp:coreProperties>
</file>